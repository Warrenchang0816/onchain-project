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ables" sheetId="1" r:id="rId1"/>
    <sheet name="Relationships" sheetId="2" r:id="rId2"/>
    <sheet name="users" sheetId="3" r:id="rId3"/>
    <sheet name="indexer_checkpoints" sheetId="4" r:id="rId4"/>
    <sheet name="processed_events" sheetId="5" r:id="rId5"/>
    <sheet name="tasks" sheetId="6" r:id="rId6"/>
    <sheet name="task_submissions" sheetId="7" r:id="rId7"/>
    <sheet name="task_blockchain_logs" sheetId="8" r:id="rId8"/>
    <sheet name="auth_nonce" sheetId="9" r:id="rId9"/>
    <sheet name="wallet_session" sheetId="10" r:id="rId10"/>
    <sheet name="kyc_submissions" sheetId="11" r:id="rId11"/>
    <sheet name="kyc_sessions" sheetId="12" r:id="rId12"/>
    <sheet name="otp_codes" sheetId="13" r:id="rId13"/>
    <sheet name="user_credentials" sheetId="14" r:id="rId14"/>
  </sheets>
</workbook>
</file>

<file path=xl/styles.xml><?xml version="1.0" encoding="utf-8"?>
<styleSheet xmlns="http://schemas.openxmlformats.org/spreadsheetml/2006/main">
  <fonts count="4">
    <font>
      <sz val="11"/>
      <name val="Aptos"/>
      <family val="2"/>
    </font>
    <font>
      <b/>
      <sz val="11"/>
      <color rgb="FFFFFFFF"/>
      <name val="Aptos"/>
      <family val="2"/>
    </font>
    <font>
      <b/>
      <sz val="13"/>
      <name val="Aptos"/>
      <family val="2"/>
    </font>
    <font>
      <i/>
      <sz val="10"/>
      <color rgb="FF666666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3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E15"/>
  <sheetViews>
    <sheetView workbookViewId="0">
      <pane ySplit="2" topLeftCell="A3" activePane="bottomLeft" state="frozen"/>
      <selection pane="bottomLeft" activeCell="A1" sqref="A1"/>
    </sheetView>
  </sheetViews>
  <sheetFormatPr defaultRowHeight="15"/>
  <cols>
    <col min="1" max="1" width="24" customWidth="1"/>
    <col min="2" max="2" width="20" customWidth="1"/>
    <col min="3" max="3" width="24" customWidth="1"/>
    <col min="4" max="4" width="62" customWidth="1"/>
    <col min="5" max="5" width="12" customWidth="1"/>
  </cols>
  <sheetData>
    <row r="1">
      <c r="A1" t="inlineStr" s="2">
        <is>
          <t>Project Relational Database Spec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</row>
    <row r="2">
      <c r="A2" t="inlineStr" s="8">
        <is>
          <t>Current live relational schema for the housing platform</t>
        </is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</row>
    <row r="3">
      <c r="A3" t="inlineStr" s="1">
        <is>
          <t>table_name</t>
        </is>
      </c>
      <c r="B3" t="inlineStr" s="1">
        <is>
          <t>table_name_zh</t>
        </is>
      </c>
      <c r="C3" t="inlineStr" s="1">
        <is>
          <t>domain</t>
        </is>
      </c>
      <c r="D3" t="inlineStr" s="1">
        <is>
          <t>summary</t>
        </is>
      </c>
      <c r="E3" t="inlineStr" s="1">
        <is>
          <t>open_sheet</t>
        </is>
      </c>
    </row>
    <row r="4">
      <c r="A4" s="3">
        <f>HYPERLINK("#'users'!A1","users")</f>
      </c>
      <c r="B4" t="inlineStr" s="3">
        <is>
          <t>會員主檔</t>
        </is>
      </c>
      <c r="C4" t="inlineStr" s="3">
        <is>
          <t>Identity / KYC</t>
        </is>
      </c>
      <c r="D4" t="inlineStr" s="3">
        <is>
          <t>會員主帳號與登入/KYC 核心資料。</t>
        </is>
      </c>
      <c r="E4" s="3">
        <f>HYPERLINK("#'users'!A1","Open")</f>
      </c>
    </row>
    <row r="5">
      <c r="A5" s="3">
        <f>HYPERLINK("#'indexer_checkpoints'!A1","indexer_checkpoints")</f>
      </c>
      <c r="B5" t="inlineStr" s="3">
        <is>
          <t>鏈上索引檢查點</t>
        </is>
      </c>
      <c r="C5" t="inlineStr" s="3">
        <is>
          <t>Indexer</t>
        </is>
      </c>
      <c r="D5" t="inlineStr" s="3">
        <is>
          <t>每個鏈上 worker 的處理進度。</t>
        </is>
      </c>
      <c r="E5" s="3">
        <f>HYPERLINK("#'indexer_checkpoints'!A1","Open")</f>
      </c>
    </row>
    <row r="6">
      <c r="A6" s="3">
        <f>HYPERLINK("#'processed_events'!A1","processed_events")</f>
      </c>
      <c r="B6" t="inlineStr" s="3">
        <is>
          <t>已處理鏈上事件</t>
        </is>
      </c>
      <c r="C6" t="inlineStr" s="3">
        <is>
          <t>Indexer</t>
        </is>
      </c>
      <c r="D6" t="inlineStr" s="3">
        <is>
          <t>鏈上事件去重與冪等控制。</t>
        </is>
      </c>
      <c r="E6" s="3">
        <f>HYPERLINK("#'processed_events'!A1","Open")</f>
      </c>
    </row>
    <row r="7">
      <c r="A7" s="3">
        <f>HYPERLINK("#'tasks'!A1","tasks")</f>
      </c>
      <c r="B7" t="inlineStr" s="3">
        <is>
          <t>房源委託主檔</t>
        </is>
      </c>
      <c r="C7" t="inlineStr" s="3">
        <is>
          <t>Listing / Case Compatibility</t>
        </is>
      </c>
      <c r="D7" t="inlineStr" s="3">
        <is>
          <t>現行房源/委託相容主表。</t>
        </is>
      </c>
      <c r="E7" s="3">
        <f>HYPERLINK("#'tasks'!A1","Open")</f>
      </c>
    </row>
    <row r="8">
      <c r="A8" s="3">
        <f>HYPERLINK("#'task_submissions'!A1","task_submissions")</f>
      </c>
      <c r="B8" t="inlineStr" s="3">
        <is>
          <t>委託進度提交</t>
        </is>
      </c>
      <c r="C8" t="inlineStr" s="3">
        <is>
          <t>Listing / Case Compatibility</t>
        </is>
      </c>
      <c r="D8" t="inlineStr" s="3">
        <is>
          <t>委託進度或成果提交。</t>
        </is>
      </c>
      <c r="E8" s="3">
        <f>HYPERLINK("#'task_submissions'!A1","Open")</f>
      </c>
    </row>
    <row r="9">
      <c r="A9" s="3">
        <f>HYPERLINK("#'task_blockchain_logs'!A1","task_blockchain_logs")</f>
      </c>
      <c r="B9" t="inlineStr" s="3">
        <is>
          <t>委託鏈上紀錄</t>
        </is>
      </c>
      <c r="C9" t="inlineStr" s="3">
        <is>
          <t>Listing / Case Compatibility</t>
        </is>
      </c>
      <c r="D9" t="inlineStr" s="3">
        <is>
          <t>委託鏈上操作歷程。</t>
        </is>
      </c>
      <c r="E9" s="3">
        <f>HYPERLINK("#'task_blockchain_logs'!A1","Open")</f>
      </c>
    </row>
    <row r="10">
      <c r="A10" s="3">
        <f>HYPERLINK("#'auth_nonce'!A1","auth_nonce")</f>
      </c>
      <c r="B10" t="inlineStr" s="3">
        <is>
          <t>登入簽名 Nonce</t>
        </is>
      </c>
      <c r="C10" t="inlineStr" s="3">
        <is>
          <t>Auth</t>
        </is>
      </c>
      <c r="D10" t="inlineStr" s="3">
        <is>
          <t>SIWE nonce 暫存。</t>
        </is>
      </c>
      <c r="E10" s="3">
        <f>HYPERLINK("#'auth_nonce'!A1","Open")</f>
      </c>
    </row>
    <row r="11">
      <c r="A11" s="3">
        <f>HYPERLINK("#'wallet_session'!A1","wallet_session")</f>
      </c>
      <c r="B11" t="inlineStr" s="3">
        <is>
          <t>登入 Session</t>
        </is>
      </c>
      <c r="C11" t="inlineStr" s="3">
        <is>
          <t>Auth</t>
        </is>
      </c>
      <c r="D11" t="inlineStr" s="3">
        <is>
          <t>登入 cookie 對應的 session。</t>
        </is>
      </c>
      <c r="E11" s="3">
        <f>HYPERLINK("#'wallet_session'!A1","Open")</f>
      </c>
    </row>
    <row r="12">
      <c r="A12" s="3">
        <f>HYPERLINK("#'kyc_submissions'!A1","kyc_submissions")</f>
      </c>
      <c r="B12" t="inlineStr" s="3">
        <is>
          <t>正式 KYC 送審</t>
        </is>
      </c>
      <c r="C12" t="inlineStr" s="3">
        <is>
          <t>Identity / KYC</t>
        </is>
      </c>
      <c r="D12" t="inlineStr" s="3">
        <is>
          <t>正式 KYC 送審與審查軌跡。</t>
        </is>
      </c>
      <c r="E12" s="3">
        <f>HYPERLINK("#'kyc_submissions'!A1","Open")</f>
      </c>
    </row>
    <row r="13">
      <c r="A13" s="3">
        <f>HYPERLINK("#'kyc_sessions'!A1","kyc_sessions")</f>
      </c>
      <c r="B13" t="inlineStr" s="3">
        <is>
          <t>Onboarding 暫存流程</t>
        </is>
      </c>
      <c r="C13" t="inlineStr" s="3">
        <is>
          <t>Identity / KYC</t>
        </is>
      </c>
      <c r="D13" t="inlineStr" s="3">
        <is>
          <t>KYC-first onboarding 暫存流程。</t>
        </is>
      </c>
      <c r="E13" s="3">
        <f>HYPERLINK("#'kyc_sessions'!A1","Open")</f>
      </c>
    </row>
    <row r="14">
      <c r="A14" s="3">
        <f>HYPERLINK("#'otp_codes'!A1","otp_codes")</f>
      </c>
      <c r="B14" t="inlineStr" s="3">
        <is>
          <t>OTP 驗證碼</t>
        </is>
      </c>
      <c r="C14" t="inlineStr" s="3">
        <is>
          <t>Identity / KYC</t>
        </is>
      </c>
      <c r="D14" t="inlineStr" s="3">
        <is>
          <t>Email/SMS OTP 驗證碼。</t>
        </is>
      </c>
      <c r="E14" s="3">
        <f>HYPERLINK("#'otp_codes'!A1","Open")</f>
      </c>
    </row>
    <row r="15">
      <c r="A15" s="3">
        <f>HYPERLINK("#'user_credentials'!A1","user_credentials")</f>
      </c>
      <c r="B15" t="inlineStr" s="3">
        <is>
          <t>角色認證申請</t>
        </is>
      </c>
      <c r="C15" t="inlineStr" s="3">
        <is>
          <t>Identity / KYC</t>
        </is>
      </c>
      <c r="D15" t="inlineStr" s="3">
        <is>
          <t>屋主/租客/仲介角色認證申請。</t>
        </is>
      </c>
      <c r="E15" s="3">
        <f>HYPERLINK("#'user_credentials'!A1","Open")</f>
      </c>
    </row>
  </sheetData>
  <autoFilter ref="A3:E15"/>
  <mergeCells count="2">
    <mergeCell ref="A1:E1"/>
    <mergeCell ref="A2:E2"/>
  </mergeCells>
</worksheet>
</file>

<file path=xl/worksheets/sheet2.xml><?xml version="1.0" encoding="utf-8"?>
<worksheet xmlns="http://schemas.openxmlformats.org/spreadsheetml/2006/main">
  <dimension ref="A1:I9"/>
  <sheetViews>
    <sheetView workbookViewId="0">
      <pane ySplit="2" topLeftCell="A3" activePane="bottomLeft" state="frozen"/>
      <selection pane="bottomLeft" activeCell="A1" sqref="A1"/>
    </sheetView>
  </sheetViews>
  <sheetFormatPr defaultRowHeight="15"/>
  <cols>
    <col min="1" max="1" width="18" customWidth="1"/>
    <col min="2" max="2" width="18" customWidth="1"/>
    <col min="3" max="3" width="20" customWidth="1"/>
    <col min="4" max="4" width="20" customWidth="1"/>
    <col min="5" max="5" width="18" customWidth="1"/>
    <col min="6" max="6" width="18" customWidth="1"/>
    <col min="7" max="7" width="18" customWidth="1"/>
    <col min="8" max="8" width="18" customWidth="1"/>
    <col min="9" max="9" width="10" customWidth="1"/>
  </cols>
  <sheetData>
    <row r="1">
      <c r="A1" t="inlineStr" s="2">
        <is>
          <t>ER / Relationship Summary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  <c r="F1" t="inlineStr" s="0">
        <is>
          <t/>
        </is>
      </c>
      <c r="G1" t="inlineStr" s="0">
        <is>
          <t/>
        </is>
      </c>
      <c r="H1" t="inlineStr" s="0">
        <is>
          <t/>
        </is>
      </c>
      <c r="I1" t="inlineStr" s="0">
        <is>
          <t/>
        </is>
      </c>
    </row>
    <row r="2">
      <c r="A2" t="inlineStr" s="8">
        <is>
          <t>目前 live schema 的 FK 關聯摘要</t>
        </is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  <c r="F2" t="inlineStr" s="0">
        <is>
          <t/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</row>
    <row r="3">
      <c r="A3" t="inlineStr" s="1">
        <is>
          <t>from_table</t>
        </is>
      </c>
      <c r="B3" t="inlineStr" s="1">
        <is>
          <t>from_table_zh</t>
        </is>
      </c>
      <c r="C3" t="inlineStr" s="1">
        <is>
          <t>from_column</t>
        </is>
      </c>
      <c r="D3" t="inlineStr" s="1">
        <is>
          <t>from_column_zh</t>
        </is>
      </c>
      <c r="E3" t="inlineStr" s="1">
        <is>
          <t>to_table</t>
        </is>
      </c>
      <c r="F3" t="inlineStr" s="1">
        <is>
          <t>to_table_zh</t>
        </is>
      </c>
      <c r="G3" t="inlineStr" s="1">
        <is>
          <t>to_column</t>
        </is>
      </c>
      <c r="H3" t="inlineStr" s="1">
        <is>
          <t>to_column_zh</t>
        </is>
      </c>
      <c r="I3" t="inlineStr" s="1">
        <is>
          <t>relation</t>
        </is>
      </c>
    </row>
    <row r="4">
      <c r="A4" t="inlineStr" s="3">
        <is>
          <t>task_submissions</t>
        </is>
      </c>
      <c r="B4" t="inlineStr" s="3">
        <is>
          <t>委託進度提交</t>
        </is>
      </c>
      <c r="C4" t="inlineStr" s="3">
        <is>
          <t>task_id</t>
        </is>
      </c>
      <c r="D4" t="inlineStr" s="3">
        <is>
          <t>委託識別碼</t>
        </is>
      </c>
      <c r="E4" t="inlineStr" s="3">
        <is>
          <t>tasks</t>
        </is>
      </c>
      <c r="F4" t="inlineStr" s="3">
        <is>
          <t>房源委託主檔</t>
        </is>
      </c>
      <c r="G4" t="inlineStr" s="3">
        <is>
          <t>id</t>
        </is>
      </c>
      <c r="H4" t="inlineStr" s="3">
        <is>
          <t>主鍵 ID</t>
        </is>
      </c>
      <c r="I4" t="inlineStr" s="3">
        <is>
          <t>FK</t>
        </is>
      </c>
    </row>
    <row r="5">
      <c r="A5" t="inlineStr" s="3">
        <is>
          <t>task_blockchain_logs</t>
        </is>
      </c>
      <c r="B5" t="inlineStr" s="3">
        <is>
          <t>委託鏈上紀錄</t>
        </is>
      </c>
      <c r="C5" t="inlineStr" s="3">
        <is>
          <t>task_id</t>
        </is>
      </c>
      <c r="D5" t="inlineStr" s="3">
        <is>
          <t>委託識別碼</t>
        </is>
      </c>
      <c r="E5" t="inlineStr" s="3">
        <is>
          <t>tasks</t>
        </is>
      </c>
      <c r="F5" t="inlineStr" s="3">
        <is>
          <t>房源委託主檔</t>
        </is>
      </c>
      <c r="G5" t="inlineStr" s="3">
        <is>
          <t>task_id</t>
        </is>
      </c>
      <c r="H5" t="inlineStr" s="3">
        <is>
          <t>委託識別碼</t>
        </is>
      </c>
      <c r="I5" t="inlineStr" s="3">
        <is>
          <t>FK</t>
        </is>
      </c>
    </row>
    <row r="6">
      <c r="A6" t="inlineStr" s="3">
        <is>
          <t>kyc_submissions</t>
        </is>
      </c>
      <c r="B6" t="inlineStr" s="3">
        <is>
          <t>正式 KYC 送審</t>
        </is>
      </c>
      <c r="C6" t="inlineStr" s="3">
        <is>
          <t>user_id</t>
        </is>
      </c>
      <c r="D6" t="inlineStr" s="3">
        <is>
          <t>會員 ID</t>
        </is>
      </c>
      <c r="E6" t="inlineStr" s="3">
        <is>
          <t>users</t>
        </is>
      </c>
      <c r="F6" t="inlineStr" s="3">
        <is>
          <t>會員主檔</t>
        </is>
      </c>
      <c r="G6" t="inlineStr" s="3">
        <is>
          <t>id</t>
        </is>
      </c>
      <c r="H6" t="inlineStr" s="3">
        <is>
          <t>主鍵 ID</t>
        </is>
      </c>
      <c r="I6" t="inlineStr" s="3">
        <is>
          <t>FK</t>
        </is>
      </c>
    </row>
    <row r="7">
      <c r="A7" t="inlineStr" s="3">
        <is>
          <t>kyc_sessions</t>
        </is>
      </c>
      <c r="B7" t="inlineStr" s="3">
        <is>
          <t>Onboarding 暫存流程</t>
        </is>
      </c>
      <c r="C7" t="inlineStr" s="3">
        <is>
          <t>bound_user_id</t>
        </is>
      </c>
      <c r="D7" t="inlineStr" s="3">
        <is>
          <t>綁定會員 ID</t>
        </is>
      </c>
      <c r="E7" t="inlineStr" s="3">
        <is>
          <t>users</t>
        </is>
      </c>
      <c r="F7" t="inlineStr" s="3">
        <is>
          <t>會員主檔</t>
        </is>
      </c>
      <c r="G7" t="inlineStr" s="3">
        <is>
          <t>id</t>
        </is>
      </c>
      <c r="H7" t="inlineStr" s="3">
        <is>
          <t>主鍵 ID</t>
        </is>
      </c>
      <c r="I7" t="inlineStr" s="3">
        <is>
          <t>FK</t>
        </is>
      </c>
    </row>
    <row r="8">
      <c r="A8" t="inlineStr" s="3">
        <is>
          <t>otp_codes</t>
        </is>
      </c>
      <c r="B8" t="inlineStr" s="3">
        <is>
          <t>OTP 驗證碼</t>
        </is>
      </c>
      <c r="C8" t="inlineStr" s="3">
        <is>
          <t>session_id</t>
        </is>
      </c>
      <c r="D8" t="inlineStr" s="3">
        <is>
          <t>流程 Session ID</t>
        </is>
      </c>
      <c r="E8" t="inlineStr" s="3">
        <is>
          <t>kyc_sessions</t>
        </is>
      </c>
      <c r="F8" t="inlineStr" s="3">
        <is>
          <t>Onboarding 暫存流程</t>
        </is>
      </c>
      <c r="G8" t="inlineStr" s="3">
        <is>
          <t>id</t>
        </is>
      </c>
      <c r="H8" t="inlineStr" s="3">
        <is>
          <t>主鍵 ID</t>
        </is>
      </c>
      <c r="I8" t="inlineStr" s="3">
        <is>
          <t>FK</t>
        </is>
      </c>
    </row>
    <row r="9">
      <c r="A9" t="inlineStr" s="3">
        <is>
          <t>user_credentials</t>
        </is>
      </c>
      <c r="B9" t="inlineStr" s="3">
        <is>
          <t>角色認證申請</t>
        </is>
      </c>
      <c r="C9" t="inlineStr" s="3">
        <is>
          <t>user_id</t>
        </is>
      </c>
      <c r="D9" t="inlineStr" s="3">
        <is>
          <t>會員 ID</t>
        </is>
      </c>
      <c r="E9" t="inlineStr" s="3">
        <is>
          <t>users</t>
        </is>
      </c>
      <c r="F9" t="inlineStr" s="3">
        <is>
          <t>會員主檔</t>
        </is>
      </c>
      <c r="G9" t="inlineStr" s="3">
        <is>
          <t>id</t>
        </is>
      </c>
      <c r="H9" t="inlineStr" s="3">
        <is>
          <t>主鍵 ID</t>
        </is>
      </c>
      <c r="I9" t="inlineStr" s="3">
        <is>
          <t>FK</t>
        </is>
      </c>
    </row>
  </sheetData>
  <autoFilter ref="A3:I9"/>
  <mergeCells count="2">
    <mergeCell ref="A1:I1"/>
    <mergeCell ref="A2:I2"/>
  </mergeCells>
</worksheet>
</file>

<file path=xl/worksheets/sheet3.xml><?xml version="1.0" encoding="utf-8"?>
<worksheet xmlns="http://schemas.openxmlformats.org/spreadsheetml/2006/main">
  <dimension ref="A1:I21"/>
  <sheetViews>
    <sheetView workbookViewId="0">
      <pane ySplit="3" topLeftCell="A4" activePane="bottomLeft" state="frozen"/>
      <selection pane="bottomLeft" activeCell="A1" sqref="A1"/>
    </sheetView>
  </sheetViews>
  <sheetFormatPr defaultRowHeight="15"/>
  <cols>
    <col min="1" max="1" width="22" customWidth="1"/>
    <col min="2" max="2" width="20" customWidth="1"/>
    <col min="3" max="3" width="16" customWidth="1"/>
    <col min="4" max="4" width="10" customWidth="1"/>
    <col min="5" max="5" width="14" customWidth="1"/>
    <col min="6" max="6" width="14" customWidth="1"/>
    <col min="7" max="7" width="22" customWidth="1"/>
    <col min="8" max="8" width="22" customWidth="1"/>
    <col min="9" max="9" width="58" customWidth="1"/>
  </cols>
  <sheetData>
    <row r="1">
      <c r="A1" t="inlineStr" s="2">
        <is>
          <t>users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  <c r="F1" t="inlineStr" s="0">
        <is>
          <t/>
        </is>
      </c>
      <c r="G1" t="inlineStr" s="0">
        <is>
          <t/>
        </is>
      </c>
      <c r="H1" t="inlineStr" s="0">
        <is>
          <t/>
        </is>
      </c>
      <c r="I1" t="inlineStr" s="0">
        <is>
          <t/>
        </is>
      </c>
    </row>
    <row r="2">
      <c r="A2" s="8">
        <f>HYPERLINK("#'Tables'!A1","Back to Tables")</f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  <c r="F2" t="inlineStr" s="0">
        <is>
          <t/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</row>
    <row r="3">
      <c r="A3" t="inlineStr" s="1">
        <is>
          <t>中文表名</t>
        </is>
      </c>
      <c r="B3" t="inlineStr" s="3">
        <is>
          <t>會員主檔</t>
        </is>
      </c>
      <c r="C3" t="inlineStr" s="1">
        <is>
          <t>Domain</t>
        </is>
      </c>
      <c r="D3" t="inlineStr" s="3">
        <is>
          <t>Identity / KYC</t>
        </is>
      </c>
      <c r="E3" t="inlineStr" s="1">
        <is>
          <t>Summary</t>
        </is>
      </c>
      <c r="F3" t="inlineStr" s="3">
        <is>
          <t>會員主帳號與登入/KYC 核心資料。</t>
        </is>
      </c>
      <c r="G3" t="inlineStr" s="3">
        <is>
          <t/>
        </is>
      </c>
      <c r="H3" t="inlineStr" s="3">
        <is>
          <t/>
        </is>
      </c>
      <c r="I3" t="inlineStr" s="3">
        <is>
          <t/>
        </is>
      </c>
    </row>
    <row r="4">
      <c r="A4" t="inlineStr" s="1">
        <is>
          <t>column_name</t>
        </is>
      </c>
      <c r="B4" t="inlineStr" s="1">
        <is>
          <t>column_name_zh</t>
        </is>
      </c>
      <c r="C4" t="inlineStr" s="1">
        <is>
          <t>data_type</t>
        </is>
      </c>
      <c r="D4" t="inlineStr" s="1">
        <is>
          <t>nullable</t>
        </is>
      </c>
      <c r="E4" t="inlineStr" s="1">
        <is>
          <t>default</t>
        </is>
      </c>
      <c r="F4" t="inlineStr" s="1">
        <is>
          <t>key_type</t>
        </is>
      </c>
      <c r="G4" t="inlineStr" s="1">
        <is>
          <t>references</t>
        </is>
      </c>
      <c r="H4" t="inlineStr" s="1">
        <is>
          <t>used_by</t>
        </is>
      </c>
      <c r="I4" t="inlineStr" s="1">
        <is>
          <t>definition</t>
        </is>
      </c>
    </row>
    <row r="5">
      <c r="A5" t="inlineStr" s="3">
        <is>
          <t>id</t>
        </is>
      </c>
      <c r="B5" t="inlineStr" s="3">
        <is>
          <t>主鍵 ID</t>
        </is>
      </c>
      <c r="C5" t="inlineStr" s="3">
        <is>
          <t>BIGSERIAL</t>
        </is>
      </c>
      <c r="D5" t="inlineStr" s="3">
        <is>
          <t>NO</t>
        </is>
      </c>
      <c r="E5" t="inlineStr" s="3">
        <is>
          <t/>
        </is>
      </c>
      <c r="F5" t="inlineStr" s="4">
        <is>
          <t>PK</t>
        </is>
      </c>
      <c r="G5" t="inlineStr" s="3">
        <is>
          <t/>
        </is>
      </c>
      <c r="H5" t="inlineStr" s="3">
        <is>
          <t>user_repo</t>
        </is>
      </c>
      <c r="I5" t="inlineStr" s="3">
        <is>
          <t>User primary key</t>
        </is>
      </c>
    </row>
    <row r="6">
      <c r="A6" t="inlineStr" s="3">
        <is>
          <t>wallet_address</t>
        </is>
      </c>
      <c r="B6" t="inlineStr" s="3">
        <is>
          <t>錢包地址</t>
        </is>
      </c>
      <c r="C6" t="inlineStr" s="3">
        <is>
          <t>VARCHAR(255)</t>
        </is>
      </c>
      <c r="D6" t="inlineStr" s="3">
        <is>
          <t>NO</t>
        </is>
      </c>
      <c r="E6" t="inlineStr" s="3">
        <is>
          <t/>
        </is>
      </c>
      <c r="F6" t="inlineStr" s="6">
        <is>
          <t>UNIQUE</t>
        </is>
      </c>
      <c r="G6" t="inlineStr" s="3">
        <is>
          <t/>
        </is>
      </c>
      <c r="H6" t="inlineStr" s="3">
        <is>
          <t>auth+onboarding+user</t>
        </is>
      </c>
      <c r="I6" t="inlineStr" s="3">
        <is>
          <t>Canonical wallet address for login and session ownership</t>
        </is>
      </c>
    </row>
    <row r="7">
      <c r="A7" t="inlineStr" s="3">
        <is>
          <t>kyc_status</t>
        </is>
      </c>
      <c r="B7" t="inlineStr" s="3">
        <is>
          <t>KYC 狀態</t>
        </is>
      </c>
      <c r="C7" t="inlineStr" s="3">
        <is>
          <t>VARCHAR(20)</t>
        </is>
      </c>
      <c r="D7" t="inlineStr" s="3">
        <is>
          <t>NO</t>
        </is>
      </c>
      <c r="E7" t="inlineStr" s="3">
        <is>
          <t>UNVERIFIED</t>
        </is>
      </c>
      <c r="F7" t="inlineStr" s="7">
        <is>
          <t>INDEX</t>
        </is>
      </c>
      <c r="G7" t="inlineStr" s="3">
        <is>
          <t/>
        </is>
      </c>
      <c r="H7" t="inlineStr" s="3">
        <is>
          <t>user_repo+user_service</t>
        </is>
      </c>
      <c r="I7" t="inlineStr" s="3">
        <is>
          <t>Current KYC status: UNVERIFIED|PENDING|VERIFIED|REJECTED</t>
        </is>
      </c>
    </row>
    <row r="8">
      <c r="A8" t="inlineStr" s="3">
        <is>
          <t>identity_hash</t>
        </is>
      </c>
      <c r="B8" t="inlineStr" s="3">
        <is>
          <t>身分綁定雜湊</t>
        </is>
      </c>
      <c r="C8" t="inlineStr" s="3">
        <is>
          <t>VARCHAR(64)</t>
        </is>
      </c>
      <c r="D8" t="inlineStr" s="3">
        <is>
          <t>YES</t>
        </is>
      </c>
      <c r="E8" t="inlineStr" s="3">
        <is>
          <t>NULL</t>
        </is>
      </c>
      <c r="F8" t="inlineStr" s="7">
        <is>
          <t>INDEX</t>
        </is>
      </c>
      <c r="G8" t="inlineStr" s="3">
        <is>
          <t/>
        </is>
      </c>
      <c r="H8" t="inlineStr" s="3">
        <is>
          <t>auth_login+user_repo</t>
        </is>
      </c>
      <c r="I8" t="inlineStr" s="3">
        <is>
          <t>Identity binding hash for one-person-one-wallet account mapping</t>
        </is>
      </c>
    </row>
    <row r="9">
      <c r="A9" t="inlineStr" s="3">
        <is>
          <t>identity_nft_token_id</t>
        </is>
      </c>
      <c r="B9" t="inlineStr" s="3">
        <is>
          <t>身份 NFT Token ID</t>
        </is>
      </c>
      <c r="C9" t="inlineStr" s="3">
        <is>
          <t>BIGINT</t>
        </is>
      </c>
      <c r="D9" t="inlineStr" s="3">
        <is>
          <t>YES</t>
        </is>
      </c>
      <c r="E9" t="inlineStr" s="3">
        <is>
          <t>NULL</t>
        </is>
      </c>
      <c r="F9" t="inlineStr" s="3">
        <is>
          <t/>
        </is>
      </c>
      <c r="G9" t="inlineStr" s="3">
        <is>
          <t/>
        </is>
      </c>
      <c r="H9" t="inlineStr" s="3">
        <is>
          <t>user_service+indexer</t>
        </is>
      </c>
      <c r="I9" t="inlineStr" s="3">
        <is>
          <t>IdentityNFT token id after verification</t>
        </is>
      </c>
    </row>
    <row r="10">
      <c r="A10" t="inlineStr" s="3">
        <is>
          <t>kyc_mint_tx_hash</t>
        </is>
      </c>
      <c r="B10" t="inlineStr" s="3">
        <is>
          <t>KYC Mint 交易雜湊</t>
        </is>
      </c>
      <c r="C10" t="inlineStr" s="3">
        <is>
          <t>VARCHAR(128)</t>
        </is>
      </c>
      <c r="D10" t="inlineStr" s="3">
        <is>
          <t>YES</t>
        </is>
      </c>
      <c r="E10" t="inlineStr" s="3">
        <is>
          <t>NULL</t>
        </is>
      </c>
      <c r="F10" t="inlineStr" s="3">
        <is>
          <t/>
        </is>
      </c>
      <c r="G10" t="inlineStr" s="3">
        <is>
          <t/>
        </is>
      </c>
      <c r="H10" t="inlineStr" s="3">
        <is>
          <t>user_service+indexer</t>
        </is>
      </c>
      <c r="I10" t="inlineStr" s="3">
        <is>
          <t>Transaction hash for IdentityNFT mint</t>
        </is>
      </c>
    </row>
    <row r="11">
      <c r="A11" t="inlineStr" s="3">
        <is>
          <t>kyc_submitted_at</t>
        </is>
      </c>
      <c r="B11" t="inlineStr" s="3">
        <is>
          <t>KYC 送出時間</t>
        </is>
      </c>
      <c r="C11" t="inlineStr" s="3">
        <is>
          <t>TIMESTAMPTZ</t>
        </is>
      </c>
      <c r="D11" t="inlineStr" s="3">
        <is>
          <t>YES</t>
        </is>
      </c>
      <c r="E11" t="inlineStr" s="3">
        <is>
          <t>NULL</t>
        </is>
      </c>
      <c r="F11" t="inlineStr" s="3">
        <is>
          <t/>
        </is>
      </c>
      <c r="G11" t="inlineStr" s="3">
        <is>
          <t/>
        </is>
      </c>
      <c r="H11" t="inlineStr" s="3">
        <is>
          <t>user_repo</t>
        </is>
      </c>
      <c r="I11" t="inlineStr" s="3">
        <is>
          <t>Time when formal KYC entered pending flow</t>
        </is>
      </c>
    </row>
    <row r="12">
      <c r="A12" t="inlineStr" s="3">
        <is>
          <t>kyc_verified_at</t>
        </is>
      </c>
      <c r="B12" t="inlineStr" s="3">
        <is>
          <t>KYC 通過時間</t>
        </is>
      </c>
      <c r="C12" t="inlineStr" s="3">
        <is>
          <t>TIMESTAMPTZ</t>
        </is>
      </c>
      <c r="D12" t="inlineStr" s="3">
        <is>
          <t>YES</t>
        </is>
      </c>
      <c r="E12" t="inlineStr" s="3">
        <is>
          <t>NULL</t>
        </is>
      </c>
      <c r="F12" t="inlineStr" s="3">
        <is>
          <t/>
        </is>
      </c>
      <c r="G12" t="inlineStr" s="3">
        <is>
          <t/>
        </is>
      </c>
      <c r="H12" t="inlineStr" s="3">
        <is>
          <t>user_repo+indexer</t>
        </is>
      </c>
      <c r="I12" t="inlineStr" s="3">
        <is>
          <t>Time when KYC became verified</t>
        </is>
      </c>
    </row>
    <row r="13">
      <c r="A13" t="inlineStr" s="3">
        <is>
          <t>created_at</t>
        </is>
      </c>
      <c r="B13" t="inlineStr" s="3">
        <is>
          <t>建立時間</t>
        </is>
      </c>
      <c r="C13" t="inlineStr" s="3">
        <is>
          <t>TIMESTAMPTZ</t>
        </is>
      </c>
      <c r="D13" t="inlineStr" s="3">
        <is>
          <t>NO</t>
        </is>
      </c>
      <c r="E13" t="inlineStr" s="3">
        <is>
          <t>NOW()</t>
        </is>
      </c>
      <c r="F13" t="inlineStr" s="3">
        <is>
          <t/>
        </is>
      </c>
      <c r="G13" t="inlineStr" s="3">
        <is>
          <t/>
        </is>
      </c>
      <c r="H13" t="inlineStr" s="3">
        <is>
          <t>system</t>
        </is>
      </c>
      <c r="I13" t="inlineStr" s="3">
        <is>
          <t>Row creation timestamp</t>
        </is>
      </c>
    </row>
    <row r="14">
      <c r="A14" t="inlineStr" s="3">
        <is>
          <t>updated_at</t>
        </is>
      </c>
      <c r="B14" t="inlineStr" s="3">
        <is>
          <t>更新時間</t>
        </is>
      </c>
      <c r="C14" t="inlineStr" s="3">
        <is>
          <t>TIMESTAMPTZ</t>
        </is>
      </c>
      <c r="D14" t="inlineStr" s="3">
        <is>
          <t>NO</t>
        </is>
      </c>
      <c r="E14" t="inlineStr" s="3">
        <is>
          <t>NOW()</t>
        </is>
      </c>
      <c r="F14" t="inlineStr" s="3">
        <is>
          <t/>
        </is>
      </c>
      <c r="G14" t="inlineStr" s="3">
        <is>
          <t/>
        </is>
      </c>
      <c r="H14" t="inlineStr" s="3">
        <is>
          <t>system</t>
        </is>
      </c>
      <c r="I14" t="inlineStr" s="3">
        <is>
          <t>Row update timestamp</t>
        </is>
      </c>
    </row>
    <row r="15">
      <c r="A15" t="inlineStr" s="3">
        <is>
          <t>email</t>
        </is>
      </c>
      <c r="B15" t="inlineStr" s="3">
        <is>
          <t>電子郵件</t>
        </is>
      </c>
      <c r="C15" t="inlineStr" s="3">
        <is>
          <t>VARCHAR(255)</t>
        </is>
      </c>
      <c r="D15" t="inlineStr" s="3">
        <is>
          <t>YES</t>
        </is>
      </c>
      <c r="E15" t="inlineStr" s="3">
        <is>
          <t>NULL</t>
        </is>
      </c>
      <c r="F15" t="inlineStr" s="6">
        <is>
          <t>UNIQUE</t>
        </is>
      </c>
      <c r="G15" t="inlineStr" s="3">
        <is>
          <t/>
        </is>
      </c>
      <c r="H15" t="inlineStr" s="3">
        <is>
          <t>onboarding+login</t>
        </is>
      </c>
      <c r="I15" t="inlineStr" s="3">
        <is>
          <t>Verified email used during onboarding and account contact</t>
        </is>
      </c>
    </row>
    <row r="16">
      <c r="A16" t="inlineStr" s="3">
        <is>
          <t>phone</t>
        </is>
      </c>
      <c r="B16" t="inlineStr" s="3">
        <is>
          <t>手機號碼</t>
        </is>
      </c>
      <c r="C16" t="inlineStr" s="3">
        <is>
          <t>VARCHAR(20)</t>
        </is>
      </c>
      <c r="D16" t="inlineStr" s="3">
        <is>
          <t>YES</t>
        </is>
      </c>
      <c r="E16" t="inlineStr" s="3">
        <is>
          <t>NULL</t>
        </is>
      </c>
      <c r="F16" t="inlineStr" s="6">
        <is>
          <t>UNIQUE</t>
        </is>
      </c>
      <c r="G16" t="inlineStr" s="3">
        <is>
          <t/>
        </is>
      </c>
      <c r="H16" t="inlineStr" s="3">
        <is>
          <t>onboarding</t>
        </is>
      </c>
      <c r="I16" t="inlineStr" s="3">
        <is>
          <t>Verified phone used during onboarding and account contact</t>
        </is>
      </c>
    </row>
    <row r="17">
      <c r="A17" t="inlineStr" s="3">
        <is>
          <t>display_name</t>
        </is>
      </c>
      <c r="B17" t="inlineStr" s="3">
        <is>
          <t>顯示名稱</t>
        </is>
      </c>
      <c r="C17" t="inlineStr" s="3">
        <is>
          <t>VARCHAR(100)</t>
        </is>
      </c>
      <c r="D17" t="inlineStr" s="3">
        <is>
          <t>YES</t>
        </is>
      </c>
      <c r="E17" t="inlineStr" s="3">
        <is>
          <t>NULL</t>
        </is>
      </c>
      <c r="F17" t="inlineStr" s="3">
        <is>
          <t/>
        </is>
      </c>
      <c r="G17" t="inlineStr" s="3">
        <is>
          <t/>
        </is>
      </c>
      <c r="H17" t="inlineStr" s="3">
        <is>
          <t>onboarding</t>
        </is>
      </c>
      <c r="I17" t="inlineStr" s="3">
        <is>
          <t>User-facing display name confirmed from OCR data</t>
        </is>
      </c>
    </row>
    <row r="18">
      <c r="A18" t="inlineStr" s="3">
        <is>
          <t>email_verified</t>
        </is>
      </c>
      <c r="B18" t="inlineStr" s="3">
        <is>
          <t>Email 已驗證</t>
        </is>
      </c>
      <c r="C18" t="inlineStr" s="3">
        <is>
          <t>BOOLEAN</t>
        </is>
      </c>
      <c r="D18" t="inlineStr" s="3">
        <is>
          <t>NO</t>
        </is>
      </c>
      <c r="E18" t="inlineStr" s="3">
        <is>
          <t>FALSE</t>
        </is>
      </c>
      <c r="F18" t="inlineStr" s="3">
        <is>
          <t/>
        </is>
      </c>
      <c r="G18" t="inlineStr" s="3">
        <is>
          <t/>
        </is>
      </c>
      <c r="H18" t="inlineStr" s="3">
        <is>
          <t>onboarding</t>
        </is>
      </c>
      <c r="I18" t="inlineStr" s="3">
        <is>
          <t>Whether email OTP verification completed</t>
        </is>
      </c>
    </row>
    <row r="19">
      <c r="A19" t="inlineStr" s="3">
        <is>
          <t>phone_verified</t>
        </is>
      </c>
      <c r="B19" t="inlineStr" s="3">
        <is>
          <t>手機已驗證</t>
        </is>
      </c>
      <c r="C19" t="inlineStr" s="3">
        <is>
          <t>BOOLEAN</t>
        </is>
      </c>
      <c r="D19" t="inlineStr" s="3">
        <is>
          <t>NO</t>
        </is>
      </c>
      <c r="E19" t="inlineStr" s="3">
        <is>
          <t>FALSE</t>
        </is>
      </c>
      <c r="F19" t="inlineStr" s="3">
        <is>
          <t/>
        </is>
      </c>
      <c r="G19" t="inlineStr" s="3">
        <is>
          <t/>
        </is>
      </c>
      <c r="H19" t="inlineStr" s="3">
        <is>
          <t>onboarding</t>
        </is>
      </c>
      <c r="I19" t="inlineStr" s="3">
        <is>
          <t>Whether SMS OTP verification completed</t>
        </is>
      </c>
    </row>
    <row r="20">
      <c r="A20" t="inlineStr" s="3">
        <is>
          <t>person_hash</t>
        </is>
      </c>
      <c r="B20" t="inlineStr" s="3">
        <is>
          <t>個人唯一雜湊</t>
        </is>
      </c>
      <c r="C20" t="inlineStr" s="3">
        <is>
          <t>VARCHAR(64)</t>
        </is>
      </c>
      <c r="D20" t="inlineStr" s="3">
        <is>
          <t>YES</t>
        </is>
      </c>
      <c r="E20" t="inlineStr" s="3">
        <is>
          <t>NULL</t>
        </is>
      </c>
      <c r="F20" t="inlineStr" s="6">
        <is>
          <t>UNIQUE</t>
        </is>
      </c>
      <c r="G20" t="inlineStr" s="3">
        <is>
          <t/>
        </is>
      </c>
      <c r="H20" t="inlineStr" s="3">
        <is>
          <t>onboarding+login</t>
        </is>
      </c>
      <c r="I20" t="inlineStr" s="3">
        <is>
          <t>One-person uniqueness hash derived from ID number</t>
        </is>
      </c>
    </row>
    <row r="21">
      <c r="A21" t="inlineStr" s="3">
        <is>
          <t>password_hash</t>
        </is>
      </c>
      <c r="B21" t="inlineStr" s="3">
        <is>
          <t>密碼雜湊</t>
        </is>
      </c>
      <c r="C21" t="inlineStr" s="3">
        <is>
          <t>VARCHAR(255)</t>
        </is>
      </c>
      <c r="D21" t="inlineStr" s="3">
        <is>
          <t>YES</t>
        </is>
      </c>
      <c r="E21" t="inlineStr" s="3">
        <is>
          <t>NULL</t>
        </is>
      </c>
      <c r="F21" t="inlineStr" s="3">
        <is>
          <t/>
        </is>
      </c>
      <c r="G21" t="inlineStr" s="3">
        <is>
          <t/>
        </is>
      </c>
      <c r="H21" t="inlineStr" s="3">
        <is>
          <t>auth_login</t>
        </is>
      </c>
      <c r="I21" t="inlineStr" s="3">
        <is>
          <t>Bcrypt password hash for post-KYC login</t>
        </is>
      </c>
    </row>
  </sheetData>
  <autoFilter ref="A4:I21"/>
  <mergeCells count="2">
    <mergeCell ref="A1:I1"/>
    <mergeCell ref="A2:I2"/>
  </mergeCells>
</worksheet>
</file>

<file path=xl/worksheets/sheet4.xml><?xml version="1.0" encoding="utf-8"?>
<worksheet xmlns="http://schemas.openxmlformats.org/spreadsheetml/2006/main">
  <dimension ref="A1:I7"/>
  <sheetViews>
    <sheetView workbookViewId="0">
      <pane ySplit="3" topLeftCell="A4" activePane="bottomLeft" state="frozen"/>
      <selection pane="bottomLeft" activeCell="A1" sqref="A1"/>
    </sheetView>
  </sheetViews>
  <sheetFormatPr defaultRowHeight="15"/>
  <cols>
    <col min="1" max="1" width="22" customWidth="1"/>
    <col min="2" max="2" width="20" customWidth="1"/>
    <col min="3" max="3" width="16" customWidth="1"/>
    <col min="4" max="4" width="10" customWidth="1"/>
    <col min="5" max="5" width="14" customWidth="1"/>
    <col min="6" max="6" width="14" customWidth="1"/>
    <col min="7" max="7" width="22" customWidth="1"/>
    <col min="8" max="8" width="22" customWidth="1"/>
    <col min="9" max="9" width="58" customWidth="1"/>
  </cols>
  <sheetData>
    <row r="1">
      <c r="A1" t="inlineStr" s="2">
        <is>
          <t>indexer_checkpoints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  <c r="F1" t="inlineStr" s="0">
        <is>
          <t/>
        </is>
      </c>
      <c r="G1" t="inlineStr" s="0">
        <is>
          <t/>
        </is>
      </c>
      <c r="H1" t="inlineStr" s="0">
        <is>
          <t/>
        </is>
      </c>
      <c r="I1" t="inlineStr" s="0">
        <is>
          <t/>
        </is>
      </c>
    </row>
    <row r="2">
      <c r="A2" s="8">
        <f>HYPERLINK("#'Tables'!A1","Back to Tables")</f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  <c r="F2" t="inlineStr" s="0">
        <is>
          <t/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</row>
    <row r="3">
      <c r="A3" t="inlineStr" s="1">
        <is>
          <t>中文表名</t>
        </is>
      </c>
      <c r="B3" t="inlineStr" s="3">
        <is>
          <t>鏈上索引檢查點</t>
        </is>
      </c>
      <c r="C3" t="inlineStr" s="1">
        <is>
          <t>Domain</t>
        </is>
      </c>
      <c r="D3" t="inlineStr" s="3">
        <is>
          <t>Indexer</t>
        </is>
      </c>
      <c r="E3" t="inlineStr" s="1">
        <is>
          <t>Summary</t>
        </is>
      </c>
      <c r="F3" t="inlineStr" s="3">
        <is>
          <t>每個鏈上 worker 的處理進度。</t>
        </is>
      </c>
      <c r="G3" t="inlineStr" s="3">
        <is>
          <t/>
        </is>
      </c>
      <c r="H3" t="inlineStr" s="3">
        <is>
          <t/>
        </is>
      </c>
      <c r="I3" t="inlineStr" s="3">
        <is>
          <t/>
        </is>
      </c>
    </row>
    <row r="4">
      <c r="A4" t="inlineStr" s="1">
        <is>
          <t>column_name</t>
        </is>
      </c>
      <c r="B4" t="inlineStr" s="1">
        <is>
          <t>column_name_zh</t>
        </is>
      </c>
      <c r="C4" t="inlineStr" s="1">
        <is>
          <t>data_type</t>
        </is>
      </c>
      <c r="D4" t="inlineStr" s="1">
        <is>
          <t>nullable</t>
        </is>
      </c>
      <c r="E4" t="inlineStr" s="1">
        <is>
          <t>default</t>
        </is>
      </c>
      <c r="F4" t="inlineStr" s="1">
        <is>
          <t>key_type</t>
        </is>
      </c>
      <c r="G4" t="inlineStr" s="1">
        <is>
          <t>references</t>
        </is>
      </c>
      <c r="H4" t="inlineStr" s="1">
        <is>
          <t>used_by</t>
        </is>
      </c>
      <c r="I4" t="inlineStr" s="1">
        <is>
          <t>definition</t>
        </is>
      </c>
    </row>
    <row r="5">
      <c r="A5" t="inlineStr" s="3">
        <is>
          <t>contract_name</t>
        </is>
      </c>
      <c r="B5" t="inlineStr" s="3">
        <is>
          <t>合約名稱</t>
        </is>
      </c>
      <c r="C5" t="inlineStr" s="3">
        <is>
          <t>VARCHAR(64)</t>
        </is>
      </c>
      <c r="D5" t="inlineStr" s="3">
        <is>
          <t>NO</t>
        </is>
      </c>
      <c r="E5" t="inlineStr" s="3">
        <is>
          <t/>
        </is>
      </c>
      <c r="F5" t="inlineStr" s="4">
        <is>
          <t>PK</t>
        </is>
      </c>
      <c r="G5" t="inlineStr" s="3">
        <is>
          <t/>
        </is>
      </c>
      <c r="H5" t="inlineStr" s="3">
        <is>
          <t>indexer</t>
        </is>
      </c>
      <c r="I5" t="inlineStr" s="3">
        <is>
          <t>Contract worker name</t>
        </is>
      </c>
    </row>
    <row r="6">
      <c r="A6" t="inlineStr" s="3">
        <is>
          <t>last_processed_block</t>
        </is>
      </c>
      <c r="B6" t="inlineStr" s="3">
        <is>
          <t>最後處理區塊</t>
        </is>
      </c>
      <c r="C6" t="inlineStr" s="3">
        <is>
          <t>BIGINT</t>
        </is>
      </c>
      <c r="D6" t="inlineStr" s="3">
        <is>
          <t>NO</t>
        </is>
      </c>
      <c r="E6" t="inlineStr" s="3">
        <is>
          <t>0</t>
        </is>
      </c>
      <c r="F6" t="inlineStr" s="3">
        <is>
          <t/>
        </is>
      </c>
      <c r="G6" t="inlineStr" s="3">
        <is>
          <t/>
        </is>
      </c>
      <c r="H6" t="inlineStr" s="3">
        <is>
          <t>indexer</t>
        </is>
      </c>
      <c r="I6" t="inlineStr" s="3">
        <is>
          <t>Last fully processed blockchain block number</t>
        </is>
      </c>
    </row>
    <row r="7">
      <c r="A7" t="inlineStr" s="3">
        <is>
          <t>updated_at</t>
        </is>
      </c>
      <c r="B7" t="inlineStr" s="3">
        <is>
          <t>更新時間</t>
        </is>
      </c>
      <c r="C7" t="inlineStr" s="3">
        <is>
          <t>TIMESTAMPTZ</t>
        </is>
      </c>
      <c r="D7" t="inlineStr" s="3">
        <is>
          <t>NO</t>
        </is>
      </c>
      <c r="E7" t="inlineStr" s="3">
        <is>
          <t>NOW()</t>
        </is>
      </c>
      <c r="F7" t="inlineStr" s="3">
        <is>
          <t/>
        </is>
      </c>
      <c r="G7" t="inlineStr" s="3">
        <is>
          <t/>
        </is>
      </c>
      <c r="H7" t="inlineStr" s="3">
        <is>
          <t>indexer</t>
        </is>
      </c>
      <c r="I7" t="inlineStr" s="3">
        <is>
          <t>Checkpoint update timestamp</t>
        </is>
      </c>
    </row>
  </sheetData>
  <autoFilter ref="A4:I7"/>
  <mergeCells count="2">
    <mergeCell ref="A1:I1"/>
    <mergeCell ref="A2:I2"/>
  </mergeCells>
</worksheet>
</file>

<file path=xl/worksheets/sheet5.xml><?xml version="1.0" encoding="utf-8"?>
<worksheet xmlns="http://schemas.openxmlformats.org/spreadsheetml/2006/main">
  <dimension ref="A1:I10"/>
  <sheetViews>
    <sheetView workbookViewId="0">
      <pane ySplit="3" topLeftCell="A4" activePane="bottomLeft" state="frozen"/>
      <selection pane="bottomLeft" activeCell="A1" sqref="A1"/>
    </sheetView>
  </sheetViews>
  <sheetFormatPr defaultRowHeight="15"/>
  <cols>
    <col min="1" max="1" width="22" customWidth="1"/>
    <col min="2" max="2" width="20" customWidth="1"/>
    <col min="3" max="3" width="16" customWidth="1"/>
    <col min="4" max="4" width="10" customWidth="1"/>
    <col min="5" max="5" width="14" customWidth="1"/>
    <col min="6" max="6" width="14" customWidth="1"/>
    <col min="7" max="7" width="22" customWidth="1"/>
    <col min="8" max="8" width="22" customWidth="1"/>
    <col min="9" max="9" width="58" customWidth="1"/>
  </cols>
  <sheetData>
    <row r="1">
      <c r="A1" t="inlineStr" s="2">
        <is>
          <t>processed_events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  <c r="F1" t="inlineStr" s="0">
        <is>
          <t/>
        </is>
      </c>
      <c r="G1" t="inlineStr" s="0">
        <is>
          <t/>
        </is>
      </c>
      <c r="H1" t="inlineStr" s="0">
        <is>
          <t/>
        </is>
      </c>
      <c r="I1" t="inlineStr" s="0">
        <is>
          <t/>
        </is>
      </c>
    </row>
    <row r="2">
      <c r="A2" s="8">
        <f>HYPERLINK("#'Tables'!A1","Back to Tables")</f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  <c r="F2" t="inlineStr" s="0">
        <is>
          <t/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</row>
    <row r="3">
      <c r="A3" t="inlineStr" s="1">
        <is>
          <t>中文表名</t>
        </is>
      </c>
      <c r="B3" t="inlineStr" s="3">
        <is>
          <t>已處理鏈上事件</t>
        </is>
      </c>
      <c r="C3" t="inlineStr" s="1">
        <is>
          <t>Domain</t>
        </is>
      </c>
      <c r="D3" t="inlineStr" s="3">
        <is>
          <t>Indexer</t>
        </is>
      </c>
      <c r="E3" t="inlineStr" s="1">
        <is>
          <t>Summary</t>
        </is>
      </c>
      <c r="F3" t="inlineStr" s="3">
        <is>
          <t>鏈上事件去重與冪等控制。</t>
        </is>
      </c>
      <c r="G3" t="inlineStr" s="3">
        <is>
          <t/>
        </is>
      </c>
      <c r="H3" t="inlineStr" s="3">
        <is>
          <t/>
        </is>
      </c>
      <c r="I3" t="inlineStr" s="3">
        <is>
          <t/>
        </is>
      </c>
    </row>
    <row r="4">
      <c r="A4" t="inlineStr" s="1">
        <is>
          <t>column_name</t>
        </is>
      </c>
      <c r="B4" t="inlineStr" s="1">
        <is>
          <t>column_name_zh</t>
        </is>
      </c>
      <c r="C4" t="inlineStr" s="1">
        <is>
          <t>data_type</t>
        </is>
      </c>
      <c r="D4" t="inlineStr" s="1">
        <is>
          <t>nullable</t>
        </is>
      </c>
      <c r="E4" t="inlineStr" s="1">
        <is>
          <t>default</t>
        </is>
      </c>
      <c r="F4" t="inlineStr" s="1">
        <is>
          <t>key_type</t>
        </is>
      </c>
      <c r="G4" t="inlineStr" s="1">
        <is>
          <t>references</t>
        </is>
      </c>
      <c r="H4" t="inlineStr" s="1">
        <is>
          <t>used_by</t>
        </is>
      </c>
      <c r="I4" t="inlineStr" s="1">
        <is>
          <t>definition</t>
        </is>
      </c>
    </row>
    <row r="5">
      <c r="A5" t="inlineStr" s="3">
        <is>
          <t>tx_hash</t>
        </is>
      </c>
      <c r="B5" t="inlineStr" s="3">
        <is>
          <t>交易雜湊</t>
        </is>
      </c>
      <c r="C5" t="inlineStr" s="3">
        <is>
          <t>VARCHAR(128)</t>
        </is>
      </c>
      <c r="D5" t="inlineStr" s="3">
        <is>
          <t>NO</t>
        </is>
      </c>
      <c r="E5" t="inlineStr" s="3">
        <is>
          <t/>
        </is>
      </c>
      <c r="F5" t="inlineStr" s="4">
        <is>
          <t>PK(partial)</t>
        </is>
      </c>
      <c r="G5" t="inlineStr" s="3">
        <is>
          <t/>
        </is>
      </c>
      <c r="H5" t="inlineStr" s="3">
        <is>
          <t>indexer</t>
        </is>
      </c>
      <c r="I5" t="inlineStr" s="3">
        <is>
          <t>Processed event transaction hash</t>
        </is>
      </c>
    </row>
    <row r="6">
      <c r="A6" t="inlineStr" s="3">
        <is>
          <t>log_index</t>
        </is>
      </c>
      <c r="B6" t="inlineStr" s="3">
        <is>
          <t>Log 索引</t>
        </is>
      </c>
      <c r="C6" t="inlineStr" s="3">
        <is>
          <t>INT</t>
        </is>
      </c>
      <c r="D6" t="inlineStr" s="3">
        <is>
          <t>NO</t>
        </is>
      </c>
      <c r="E6" t="inlineStr" s="3">
        <is>
          <t/>
        </is>
      </c>
      <c r="F6" t="inlineStr" s="4">
        <is>
          <t>PK(partial)</t>
        </is>
      </c>
      <c r="G6" t="inlineStr" s="3">
        <is>
          <t/>
        </is>
      </c>
      <c r="H6" t="inlineStr" s="3">
        <is>
          <t>indexer</t>
        </is>
      </c>
      <c r="I6" t="inlineStr" s="3">
        <is>
          <t>Processed event log index within transaction</t>
        </is>
      </c>
    </row>
    <row r="7">
      <c r="A7" t="inlineStr" s="3">
        <is>
          <t>contract_name</t>
        </is>
      </c>
      <c r="B7" t="inlineStr" s="3">
        <is>
          <t>合約名稱</t>
        </is>
      </c>
      <c r="C7" t="inlineStr" s="3">
        <is>
          <t>VARCHAR(64)</t>
        </is>
      </c>
      <c r="D7" t="inlineStr" s="3">
        <is>
          <t>NO</t>
        </is>
      </c>
      <c r="E7" t="inlineStr" s="3">
        <is>
          <t/>
        </is>
      </c>
      <c r="F7" t="inlineStr" s="3">
        <is>
          <t/>
        </is>
      </c>
      <c r="G7" t="inlineStr" s="3">
        <is>
          <t> </t>
        </is>
      </c>
      <c r="H7" t="inlineStr" s="3">
        <is>
          <t>indexer</t>
        </is>
      </c>
      <c r="I7" t="inlineStr" s="3">
        <is>
          <t>Contract name that emitted the event</t>
        </is>
      </c>
    </row>
    <row r="8">
      <c r="A8" t="inlineStr" s="3">
        <is>
          <t>event_name</t>
        </is>
      </c>
      <c r="B8" t="inlineStr" s="3">
        <is>
          <t>事件名稱</t>
        </is>
      </c>
      <c r="C8" t="inlineStr" s="3">
        <is>
          <t>VARCHAR(64)</t>
        </is>
      </c>
      <c r="D8" t="inlineStr" s="3">
        <is>
          <t>NO</t>
        </is>
      </c>
      <c r="E8" t="inlineStr" s="3">
        <is>
          <t/>
        </is>
      </c>
      <c r="F8" t="inlineStr" s="3">
        <is>
          <t/>
        </is>
      </c>
      <c r="G8" t="inlineStr" s="3">
        <is>
          <t> </t>
        </is>
      </c>
      <c r="H8" t="inlineStr" s="3">
        <is>
          <t>indexer</t>
        </is>
      </c>
      <c r="I8" t="inlineStr" s="3">
        <is>
          <t>Decoded event name</t>
        </is>
      </c>
    </row>
    <row r="9">
      <c r="A9" t="inlineStr" s="3">
        <is>
          <t>block_number</t>
        </is>
      </c>
      <c r="B9" t="inlineStr" s="3">
        <is>
          <t>區塊高度</t>
        </is>
      </c>
      <c r="C9" t="inlineStr" s="3">
        <is>
          <t>BIGINT</t>
        </is>
      </c>
      <c r="D9" t="inlineStr" s="3">
        <is>
          <t>NO</t>
        </is>
      </c>
      <c r="E9" t="inlineStr" s="3">
        <is>
          <t/>
        </is>
      </c>
      <c r="F9" t="inlineStr" s="3">
        <is>
          <t/>
        </is>
      </c>
      <c r="G9" t="inlineStr" s="3">
        <is>
          <t> </t>
        </is>
      </c>
      <c r="H9" t="inlineStr" s="3">
        <is>
          <t>indexer</t>
        </is>
      </c>
      <c r="I9" t="inlineStr" s="3">
        <is>
          <t>Block number containing the event</t>
        </is>
      </c>
    </row>
    <row r="10">
      <c r="A10" t="inlineStr" s="3">
        <is>
          <t>processed_at</t>
        </is>
      </c>
      <c r="B10" t="inlineStr" s="3">
        <is>
          <t>處理時間</t>
        </is>
      </c>
      <c r="C10" t="inlineStr" s="3">
        <is>
          <t>TIMESTAMPTZ</t>
        </is>
      </c>
      <c r="D10" t="inlineStr" s="3">
        <is>
          <t>NO</t>
        </is>
      </c>
      <c r="E10" t="inlineStr" s="3">
        <is>
          <t>NOW()</t>
        </is>
      </c>
      <c r="F10" t="inlineStr" s="3">
        <is>
          <t/>
        </is>
      </c>
      <c r="G10" t="inlineStr" s="3">
        <is>
          <t/>
        </is>
      </c>
      <c r="H10" t="inlineStr" s="3">
        <is>
          <t>indexer</t>
        </is>
      </c>
      <c r="I10" t="inlineStr" s="3">
        <is>
          <t>When the event was marked processed</t>
        </is>
      </c>
    </row>
  </sheetData>
  <autoFilter ref="A4:I10"/>
  <mergeCells count="2">
    <mergeCell ref="A1:I1"/>
    <mergeCell ref="A2:I2"/>
  </mergeCells>
</worksheet>
</file>

<file path=xl/worksheets/sheet6.xml><?xml version="1.0" encoding="utf-8"?>
<worksheet xmlns="http://schemas.openxmlformats.org/spreadsheetml/2006/main">
  <dimension ref="A1:I25"/>
  <sheetViews>
    <sheetView workbookViewId="0">
      <pane ySplit="3" topLeftCell="A4" activePane="bottomLeft" state="frozen"/>
      <selection pane="bottomLeft" activeCell="A1" sqref="A1"/>
    </sheetView>
  </sheetViews>
  <sheetFormatPr defaultRowHeight="15"/>
  <cols>
    <col min="1" max="1" width="22" customWidth="1"/>
    <col min="2" max="2" width="20" customWidth="1"/>
    <col min="3" max="3" width="16" customWidth="1"/>
    <col min="4" max="4" width="10" customWidth="1"/>
    <col min="5" max="5" width="14" customWidth="1"/>
    <col min="6" max="6" width="14" customWidth="1"/>
    <col min="7" max="7" width="22" customWidth="1"/>
    <col min="8" max="8" width="22" customWidth="1"/>
    <col min="9" max="9" width="58" customWidth="1"/>
  </cols>
  <sheetData>
    <row r="1">
      <c r="A1" t="inlineStr" s="2">
        <is>
          <t>tasks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  <c r="F1" t="inlineStr" s="0">
        <is>
          <t/>
        </is>
      </c>
      <c r="G1" t="inlineStr" s="0">
        <is>
          <t/>
        </is>
      </c>
      <c r="H1" t="inlineStr" s="0">
        <is>
          <t/>
        </is>
      </c>
      <c r="I1" t="inlineStr" s="0">
        <is>
          <t/>
        </is>
      </c>
    </row>
    <row r="2">
      <c r="A2" s="8">
        <f>HYPERLINK("#'Tables'!A1","Back to Tables")</f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  <c r="F2" t="inlineStr" s="0">
        <is>
          <t/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</row>
    <row r="3">
      <c r="A3" t="inlineStr" s="1">
        <is>
          <t>中文表名</t>
        </is>
      </c>
      <c r="B3" t="inlineStr" s="3">
        <is>
          <t>房源委託主檔</t>
        </is>
      </c>
      <c r="C3" t="inlineStr" s="1">
        <is>
          <t>Domain</t>
        </is>
      </c>
      <c r="D3" t="inlineStr" s="3">
        <is>
          <t>Listing / Case Compatibility</t>
        </is>
      </c>
      <c r="E3" t="inlineStr" s="1">
        <is>
          <t>Summary</t>
        </is>
      </c>
      <c r="F3" t="inlineStr" s="3">
        <is>
          <t>現行房源/委託相容主表。</t>
        </is>
      </c>
      <c r="G3" t="inlineStr" s="3">
        <is>
          <t/>
        </is>
      </c>
      <c r="H3" t="inlineStr" s="3">
        <is>
          <t/>
        </is>
      </c>
      <c r="I3" t="inlineStr" s="3">
        <is>
          <t/>
        </is>
      </c>
    </row>
    <row r="4">
      <c r="A4" t="inlineStr" s="1">
        <is>
          <t>column_name</t>
        </is>
      </c>
      <c r="B4" t="inlineStr" s="1">
        <is>
          <t>column_name_zh</t>
        </is>
      </c>
      <c r="C4" t="inlineStr" s="1">
        <is>
          <t>data_type</t>
        </is>
      </c>
      <c r="D4" t="inlineStr" s="1">
        <is>
          <t>nullable</t>
        </is>
      </c>
      <c r="E4" t="inlineStr" s="1">
        <is>
          <t>default</t>
        </is>
      </c>
      <c r="F4" t="inlineStr" s="1">
        <is>
          <t>key_type</t>
        </is>
      </c>
      <c r="G4" t="inlineStr" s="1">
        <is>
          <t>references</t>
        </is>
      </c>
      <c r="H4" t="inlineStr" s="1">
        <is>
          <t>used_by</t>
        </is>
      </c>
      <c r="I4" t="inlineStr" s="1">
        <is>
          <t>definition</t>
        </is>
      </c>
    </row>
    <row r="5">
      <c r="A5" t="inlineStr" s="3">
        <is>
          <t>id</t>
        </is>
      </c>
      <c r="B5" t="inlineStr" s="3">
        <is>
          <t>主鍵 ID</t>
        </is>
      </c>
      <c r="C5" t="inlineStr" s="3">
        <is>
          <t>BIGSERIAL</t>
        </is>
      </c>
      <c r="D5" t="inlineStr" s="3">
        <is>
          <t>NO</t>
        </is>
      </c>
      <c r="E5" t="inlineStr" s="3">
        <is>
          <t/>
        </is>
      </c>
      <c r="F5" t="inlineStr" s="4">
        <is>
          <t>PK</t>
        </is>
      </c>
      <c r="G5" t="inlineStr" s="3">
        <is>
          <t/>
        </is>
      </c>
      <c r="H5" t="inlineStr" s="3">
        <is>
          <t>task_repo</t>
        </is>
      </c>
      <c r="I5" t="inlineStr" s="3">
        <is>
          <t>Task primary key</t>
        </is>
      </c>
    </row>
    <row r="6">
      <c r="A6" t="inlineStr" s="3">
        <is>
          <t>task_id</t>
        </is>
      </c>
      <c r="B6" t="inlineStr" s="3">
        <is>
          <t>委託識別碼</t>
        </is>
      </c>
      <c r="C6" t="inlineStr" s="3">
        <is>
          <t>VARCHAR(64)</t>
        </is>
      </c>
      <c r="D6" t="inlineStr" s="3">
        <is>
          <t>NO</t>
        </is>
      </c>
      <c r="E6" t="inlineStr" s="3">
        <is>
          <t/>
        </is>
      </c>
      <c r="F6" t="inlineStr" s="6">
        <is>
          <t>UNIQUE</t>
        </is>
      </c>
      <c r="G6" t="inlineStr" s="3">
        <is>
          <t/>
        </is>
      </c>
      <c r="H6" t="inlineStr" s="3">
        <is>
          <t>task_repo+blockchain_logs</t>
        </is>
      </c>
      <c r="I6" t="inlineStr" s="3">
        <is>
          <t>Public task identifier referenced by blockchain logs</t>
        </is>
      </c>
    </row>
    <row r="7">
      <c r="A7" t="inlineStr" s="3">
        <is>
          <t>wallet_address</t>
        </is>
      </c>
      <c r="B7" t="inlineStr" s="3">
        <is>
          <t>錢包地址</t>
        </is>
      </c>
      <c r="C7" t="inlineStr" s="3">
        <is>
          <t>VARCHAR(255)</t>
        </is>
      </c>
      <c r="D7" t="inlineStr" s="3">
        <is>
          <t>NO</t>
        </is>
      </c>
      <c r="E7" t="inlineStr" s="3">
        <is>
          <t/>
        </is>
      </c>
      <c r="F7" t="inlineStr" s="7">
        <is>
          <t>INDEX</t>
        </is>
      </c>
      <c r="G7" t="inlineStr" s="3">
        <is>
          <t/>
        </is>
      </c>
      <c r="H7" t="inlineStr" s="3">
        <is>
          <t>task_module</t>
        </is>
      </c>
      <c r="I7" t="inlineStr" s="3">
        <is>
          <t>Creator wallet address</t>
        </is>
      </c>
    </row>
    <row r="8">
      <c r="A8" t="inlineStr" s="3">
        <is>
          <t>assignee_wallet_address</t>
        </is>
      </c>
      <c r="B8" t="inlineStr" s="3">
        <is>
          <t>承辦錢包地址</t>
        </is>
      </c>
      <c r="C8" t="inlineStr" s="3">
        <is>
          <t>VARCHAR(64)</t>
        </is>
      </c>
      <c r="D8" t="inlineStr" s="3">
        <is>
          <t>YES</t>
        </is>
      </c>
      <c r="E8" t="inlineStr" s="3">
        <is>
          <t>NULL</t>
        </is>
      </c>
      <c r="F8" t="inlineStr" s="3">
        <is>
          <t/>
        </is>
      </c>
      <c r="G8" t="inlineStr" s="3">
        <is>
          <t/>
        </is>
      </c>
      <c r="H8" t="inlineStr" s="3">
        <is>
          <t>task_module</t>
        </is>
      </c>
      <c r="I8" t="inlineStr" s="3">
        <is>
          <t>Accepted assignee wallet address</t>
        </is>
      </c>
    </row>
    <row r="9">
      <c r="A9" t="inlineStr" s="3">
        <is>
          <t>title</t>
        </is>
      </c>
      <c r="B9" t="inlineStr" s="3">
        <is>
          <t>標題</t>
        </is>
      </c>
      <c r="C9" t="inlineStr" s="3">
        <is>
          <t>VARCHAR(255)</t>
        </is>
      </c>
      <c r="D9" t="inlineStr" s="3">
        <is>
          <t>NO</t>
        </is>
      </c>
      <c r="E9" t="inlineStr" s="3">
        <is>
          <t/>
        </is>
      </c>
      <c r="F9" t="inlineStr" s="3">
        <is>
          <t/>
        </is>
      </c>
      <c r="G9" t="inlineStr" s="3">
        <is>
          <t> </t>
        </is>
      </c>
      <c r="H9" t="inlineStr" s="3">
        <is>
          <t>task_module</t>
        </is>
      </c>
      <c r="I9" t="inlineStr" s="3">
        <is>
          <t>Task title</t>
        </is>
      </c>
    </row>
    <row r="10">
      <c r="A10" t="inlineStr" s="3">
        <is>
          <t>description</t>
        </is>
      </c>
      <c r="B10" t="inlineStr" s="3">
        <is>
          <t>說明</t>
        </is>
      </c>
      <c r="C10" t="inlineStr" s="3">
        <is>
          <t>TEXT</t>
        </is>
      </c>
      <c r="D10" t="inlineStr" s="3">
        <is>
          <t>NO</t>
        </is>
      </c>
      <c r="E10" t="inlineStr" s="3">
        <is>
          <t>'' </t>
        </is>
      </c>
      <c r="F10" t="inlineStr" s="3">
        <is>
          <t/>
        </is>
      </c>
      <c r="G10" t="inlineStr" s="3">
        <is>
          <t>task_module</t>
        </is>
      </c>
      <c r="H10" t="inlineStr" s="3">
        <is>
          <t>Task description</t>
        </is>
      </c>
      <c r="I10" t="inlineStr" s="3">
        <is>
          <t/>
        </is>
      </c>
    </row>
    <row r="11">
      <c r="A11" t="inlineStr" s="3">
        <is>
          <t>status</t>
        </is>
      </c>
      <c r="B11" t="inlineStr" s="3">
        <is>
          <t>狀態</t>
        </is>
      </c>
      <c r="C11" t="inlineStr" s="3">
        <is>
          <t>VARCHAR(50)</t>
        </is>
      </c>
      <c r="D11" t="inlineStr" s="3">
        <is>
          <t>NO</t>
        </is>
      </c>
      <c r="E11" t="inlineStr" s="3">
        <is>
          <t>OPEN</t>
        </is>
      </c>
      <c r="F11" t="inlineStr" s="7">
        <is>
          <t>INDEX</t>
        </is>
      </c>
      <c r="G11" t="inlineStr" s="3">
        <is>
          <t/>
        </is>
      </c>
      <c r="H11" t="inlineStr" s="3">
        <is>
          <t>task_module</t>
        </is>
      </c>
      <c r="I11" t="inlineStr" s="3">
        <is>
          <t>Workflow status: OPEN|IN_PROGRESS|SUBMITTED|APPROVED|CANCELLED|COMPLETED</t>
        </is>
      </c>
    </row>
    <row r="12">
      <c r="A12" t="inlineStr" s="3">
        <is>
          <t>priority</t>
        </is>
      </c>
      <c r="B12" t="inlineStr" s="3">
        <is>
          <t>優先度</t>
        </is>
      </c>
      <c r="C12" t="inlineStr" s="3">
        <is>
          <t>VARCHAR(50)</t>
        </is>
      </c>
      <c r="D12" t="inlineStr" s="3">
        <is>
          <t>NO</t>
        </is>
      </c>
      <c r="E12" t="inlineStr" s="3">
        <is>
          <t>MEDIUM</t>
        </is>
      </c>
      <c r="F12" t="inlineStr" s="3">
        <is>
          <t/>
        </is>
      </c>
      <c r="G12" t="inlineStr" s="3">
        <is>
          <t/>
        </is>
      </c>
      <c r="H12" t="inlineStr" s="3">
        <is>
          <t>task_module</t>
        </is>
      </c>
      <c r="I12" t="inlineStr" s="3">
        <is>
          <t>Task priority label</t>
        </is>
      </c>
    </row>
    <row r="13">
      <c r="A13" t="inlineStr" s="3">
        <is>
          <t>reward_amount</t>
        </is>
      </c>
      <c r="B13" t="inlineStr" s="3">
        <is>
          <t>預算金額</t>
        </is>
      </c>
      <c r="C13" t="inlineStr" s="3">
        <is>
          <t>NUMERIC(20;8)</t>
        </is>
      </c>
      <c r="D13" t="inlineStr" s="3">
        <is>
          <t>NO</t>
        </is>
      </c>
      <c r="E13" t="inlineStr" s="3">
        <is>
          <t>0</t>
        </is>
      </c>
      <c r="F13" t="inlineStr" s="3">
        <is>
          <t/>
        </is>
      </c>
      <c r="G13" t="inlineStr" s="3">
        <is>
          <t/>
        </is>
      </c>
      <c r="H13" t="inlineStr" s="3">
        <is>
          <t>task_module</t>
        </is>
      </c>
      <c r="I13" t="inlineStr" s="3">
        <is>
          <t>Reward amount stored as decimal string/number</t>
        </is>
      </c>
    </row>
    <row r="14">
      <c r="A14" t="inlineStr" s="3">
        <is>
          <t>fee_bps</t>
        </is>
      </c>
      <c r="B14" t="inlineStr" s="3">
        <is>
          <t>平台費率 BPS</t>
        </is>
      </c>
      <c r="C14" t="inlineStr" s="3">
        <is>
          <t>INTEGER</t>
        </is>
      </c>
      <c r="D14" t="inlineStr" s="3">
        <is>
          <t>NO</t>
        </is>
      </c>
      <c r="E14" t="inlineStr" s="3">
        <is>
          <t>500</t>
        </is>
      </c>
      <c r="F14" t="inlineStr" s="3">
        <is>
          <t/>
        </is>
      </c>
      <c r="G14" t="inlineStr" s="3">
        <is>
          <t/>
        </is>
      </c>
      <c r="H14" t="inlineStr" s="3">
        <is>
          <t>task_module</t>
        </is>
      </c>
      <c r="I14" t="inlineStr" s="3">
        <is>
          <t>Platform fee in basis points</t>
        </is>
      </c>
    </row>
    <row r="15">
      <c r="A15" t="inlineStr" s="3">
        <is>
          <t>chain_id</t>
        </is>
      </c>
      <c r="B15" t="inlineStr" s="3">
        <is>
          <t>鏈 ID</t>
        </is>
      </c>
      <c r="C15" t="inlineStr" s="3">
        <is>
          <t>BIGINT</t>
        </is>
      </c>
      <c r="D15" t="inlineStr" s="3">
        <is>
          <t>YES</t>
        </is>
      </c>
      <c r="E15" t="inlineStr" s="3">
        <is>
          <t>NULL</t>
        </is>
      </c>
      <c r="F15" t="inlineStr" s="3">
        <is>
          <t/>
        </is>
      </c>
      <c r="G15" t="inlineStr" s="3">
        <is>
          <t/>
        </is>
      </c>
      <c r="H15" t="inlineStr" s="3">
        <is>
          <t>task_module</t>
        </is>
      </c>
      <c r="I15" t="inlineStr" s="3">
        <is>
          <t>Chain id used for on-chain funding record</t>
        </is>
      </c>
    </row>
    <row r="16">
      <c r="A16" t="inlineStr" s="3">
        <is>
          <t>vault_contract_address</t>
        </is>
      </c>
      <c r="B16" t="inlineStr" s="3">
        <is>
          <t>金庫合約地址</t>
        </is>
      </c>
      <c r="C16" t="inlineStr" s="3">
        <is>
          <t>VARCHAR(128)</t>
        </is>
      </c>
      <c r="D16" t="inlineStr" s="3">
        <is>
          <t>YES</t>
        </is>
      </c>
      <c r="E16" t="inlineStr" s="3">
        <is>
          <t>NULL</t>
        </is>
      </c>
      <c r="F16" t="inlineStr" s="3">
        <is>
          <t/>
        </is>
      </c>
      <c r="G16" t="inlineStr" s="3">
        <is>
          <t/>
        </is>
      </c>
      <c r="H16" t="inlineStr" s="3">
        <is>
          <t>task_module</t>
        </is>
      </c>
      <c r="I16" t="inlineStr" s="3">
        <is>
          <t>TaskRewardVault contract address for this task</t>
        </is>
      </c>
    </row>
    <row r="17">
      <c r="A17" t="inlineStr" s="3">
        <is>
          <t>contract_task_id</t>
        </is>
      </c>
      <c r="B17" t="inlineStr" s="3">
        <is>
          <t>鏈上委託 ID</t>
        </is>
      </c>
      <c r="C17" t="inlineStr" s="3">
        <is>
          <t>VARCHAR(128)</t>
        </is>
      </c>
      <c r="D17" t="inlineStr" s="3">
        <is>
          <t>YES</t>
        </is>
      </c>
      <c r="E17" t="inlineStr" s="3">
        <is>
          <t>NULL</t>
        </is>
      </c>
      <c r="F17" t="inlineStr" s="3">
        <is>
          <t/>
        </is>
      </c>
      <c r="G17" t="inlineStr" s="3">
        <is>
          <t/>
        </is>
      </c>
      <c r="H17" t="inlineStr" s="3">
        <is>
          <t>task_module</t>
        </is>
      </c>
      <c r="I17" t="inlineStr" s="3">
        <is>
          <t>On-chain task id returned by contract</t>
        </is>
      </c>
    </row>
    <row r="18">
      <c r="A18" t="inlineStr" s="3">
        <is>
          <t>onchain_status</t>
        </is>
      </c>
      <c r="B18" t="inlineStr" s="3">
        <is>
          <t>鏈上狀態</t>
        </is>
      </c>
      <c r="C18" t="inlineStr" s="3">
        <is>
          <t>VARCHAR(32)</t>
        </is>
      </c>
      <c r="D18" t="inlineStr" s="3">
        <is>
          <t>NO</t>
        </is>
      </c>
      <c r="E18" t="inlineStr" s="3">
        <is>
          <t>NOT_FUNDED</t>
        </is>
      </c>
      <c r="F18" t="inlineStr" s="7">
        <is>
          <t>INDEX</t>
        </is>
      </c>
      <c r="G18" t="inlineStr" s="3">
        <is>
          <t/>
        </is>
      </c>
      <c r="H18" t="inlineStr" s="3">
        <is>
          <t>task_module</t>
        </is>
      </c>
      <c r="I18" t="inlineStr" s="3">
        <is>
          <t>On-chain lifecycle status</t>
        </is>
      </c>
    </row>
    <row r="19">
      <c r="A19" t="inlineStr" s="3">
        <is>
          <t>fund_tx_hash</t>
        </is>
      </c>
      <c r="B19" t="inlineStr" s="3">
        <is>
          <t>注資交易</t>
        </is>
      </c>
      <c r="C19" t="inlineStr" s="3">
        <is>
          <t>VARCHAR(128)</t>
        </is>
      </c>
      <c r="D19" t="inlineStr" s="3">
        <is>
          <t>YES</t>
        </is>
      </c>
      <c r="E19" t="inlineStr" s="3">
        <is>
          <t>NULL</t>
        </is>
      </c>
      <c r="F19" t="inlineStr" s="3">
        <is>
          <t/>
        </is>
      </c>
      <c r="G19" t="inlineStr" s="3">
        <is>
          <t/>
        </is>
      </c>
      <c r="H19" t="inlineStr" s="3">
        <is>
          <t>task_module</t>
        </is>
      </c>
      <c r="I19" t="inlineStr" s="3">
        <is>
          <t>Funding transaction hash</t>
        </is>
      </c>
    </row>
    <row r="20">
      <c r="A20" t="inlineStr" s="3">
        <is>
          <t>approve_tx_hash</t>
        </is>
      </c>
      <c r="B20" t="inlineStr" s="3">
        <is>
          <t>核准交易</t>
        </is>
      </c>
      <c r="C20" t="inlineStr" s="3">
        <is>
          <t>VARCHAR(128)</t>
        </is>
      </c>
      <c r="D20" t="inlineStr" s="3">
        <is>
          <t>YES</t>
        </is>
      </c>
      <c r="E20" t="inlineStr" s="3">
        <is>
          <t>NULL</t>
        </is>
      </c>
      <c r="F20" t="inlineStr" s="3">
        <is>
          <t/>
        </is>
      </c>
      <c r="G20" t="inlineStr" s="3">
        <is>
          <t/>
        </is>
      </c>
      <c r="H20" t="inlineStr" s="3">
        <is>
          <t>task_module</t>
        </is>
      </c>
      <c r="I20" t="inlineStr" s="3">
        <is>
          <t>Approval transaction hash</t>
        </is>
      </c>
    </row>
    <row r="21">
      <c r="A21" t="inlineStr" s="3">
        <is>
          <t>claim_tx_hash</t>
        </is>
      </c>
      <c r="B21" t="inlineStr" s="3">
        <is>
          <t>請款交易</t>
        </is>
      </c>
      <c r="C21" t="inlineStr" s="3">
        <is>
          <t>VARCHAR(128)</t>
        </is>
      </c>
      <c r="D21" t="inlineStr" s="3">
        <is>
          <t>YES</t>
        </is>
      </c>
      <c r="E21" t="inlineStr" s="3">
        <is>
          <t>NULL</t>
        </is>
      </c>
      <c r="F21" t="inlineStr" s="3">
        <is>
          <t/>
        </is>
      </c>
      <c r="G21" t="inlineStr" s="3">
        <is>
          <t/>
        </is>
      </c>
      <c r="H21" t="inlineStr" s="3">
        <is>
          <t>task_module</t>
        </is>
      </c>
      <c r="I21" t="inlineStr" s="3">
        <is>
          <t>Claim transaction hash</t>
        </is>
      </c>
    </row>
    <row r="22">
      <c r="A22" t="inlineStr" s="3">
        <is>
          <t>cancel_tx_hash</t>
        </is>
      </c>
      <c r="B22" t="inlineStr" s="3">
        <is>
          <t>取消交易</t>
        </is>
      </c>
      <c r="C22" t="inlineStr" s="3">
        <is>
          <t>VARCHAR(128)</t>
        </is>
      </c>
      <c r="D22" t="inlineStr" s="3">
        <is>
          <t>YES</t>
        </is>
      </c>
      <c r="E22" t="inlineStr" s="3">
        <is>
          <t>NULL</t>
        </is>
      </c>
      <c r="F22" t="inlineStr" s="3">
        <is>
          <t/>
        </is>
      </c>
      <c r="G22" t="inlineStr" s="3">
        <is>
          <t/>
        </is>
      </c>
      <c r="H22" t="inlineStr" s="3">
        <is>
          <t>task_module</t>
        </is>
      </c>
      <c r="I22" t="inlineStr" s="3">
        <is>
          <t>Cancel/refund transaction hash</t>
        </is>
      </c>
    </row>
    <row r="23">
      <c r="A23" t="inlineStr" s="3">
        <is>
          <t>due_date</t>
        </is>
      </c>
      <c r="B23" t="inlineStr" s="3">
        <is>
          <t>截止時間</t>
        </is>
      </c>
      <c r="C23" t="inlineStr" s="3">
        <is>
          <t>TIMESTAMPTZ</t>
        </is>
      </c>
      <c r="D23" t="inlineStr" s="3">
        <is>
          <t>YES</t>
        </is>
      </c>
      <c r="E23" t="inlineStr" s="3">
        <is>
          <t>NULL</t>
        </is>
      </c>
      <c r="F23" t="inlineStr" s="3">
        <is>
          <t/>
        </is>
      </c>
      <c r="G23" t="inlineStr" s="3">
        <is>
          <t/>
        </is>
      </c>
      <c r="H23" t="inlineStr" s="3">
        <is>
          <t>task_module</t>
        </is>
      </c>
      <c r="I23" t="inlineStr" s="3">
        <is>
          <t>Task due date</t>
        </is>
      </c>
    </row>
    <row r="24">
      <c r="A24" t="inlineStr" s="3">
        <is>
          <t>created_at</t>
        </is>
      </c>
      <c r="B24" t="inlineStr" s="3">
        <is>
          <t>建立時間</t>
        </is>
      </c>
      <c r="C24" t="inlineStr" s="3">
        <is>
          <t>TIMESTAMPTZ</t>
        </is>
      </c>
      <c r="D24" t="inlineStr" s="3">
        <is>
          <t>NO</t>
        </is>
      </c>
      <c r="E24" t="inlineStr" s="3">
        <is>
          <t>NOW()</t>
        </is>
      </c>
      <c r="F24" t="inlineStr" s="3">
        <is>
          <t/>
        </is>
      </c>
      <c r="G24" t="inlineStr" s="3">
        <is>
          <t/>
        </is>
      </c>
      <c r="H24" t="inlineStr" s="3">
        <is>
          <t>system</t>
        </is>
      </c>
      <c r="I24" t="inlineStr" s="3">
        <is>
          <t>Row creation timestamp</t>
        </is>
      </c>
    </row>
    <row r="25">
      <c r="A25" t="inlineStr" s="3">
        <is>
          <t>updated_at</t>
        </is>
      </c>
      <c r="B25" t="inlineStr" s="3">
        <is>
          <t>更新時間</t>
        </is>
      </c>
      <c r="C25" t="inlineStr" s="3">
        <is>
          <t>TIMESTAMPTZ</t>
        </is>
      </c>
      <c r="D25" t="inlineStr" s="3">
        <is>
          <t>NO</t>
        </is>
      </c>
      <c r="E25" t="inlineStr" s="3">
        <is>
          <t>NOW()</t>
        </is>
      </c>
      <c r="F25" t="inlineStr" s="3">
        <is>
          <t/>
        </is>
      </c>
      <c r="G25" t="inlineStr" s="3">
        <is>
          <t/>
        </is>
      </c>
      <c r="H25" t="inlineStr" s="3">
        <is>
          <t>system</t>
        </is>
      </c>
      <c r="I25" t="inlineStr" s="3">
        <is>
          <t>Row update timestamp</t>
        </is>
      </c>
    </row>
  </sheetData>
  <autoFilter ref="A4:I25"/>
  <mergeCells count="2">
    <mergeCell ref="A1:I1"/>
    <mergeCell ref="A2:I2"/>
  </mergeCells>
</worksheet>
</file>

<file path=xl/worksheets/sheet7.xml><?xml version="1.0" encoding="utf-8"?>
<worksheet xmlns="http://schemas.openxmlformats.org/spreadsheetml/2006/main">
  <dimension ref="A1:I10"/>
  <sheetViews>
    <sheetView workbookViewId="0">
      <pane ySplit="3" topLeftCell="A4" activePane="bottomLeft" state="frozen"/>
      <selection pane="bottomLeft" activeCell="A1" sqref="A1"/>
    </sheetView>
  </sheetViews>
  <sheetFormatPr defaultRowHeight="15"/>
  <cols>
    <col min="1" max="1" width="22" customWidth="1"/>
    <col min="2" max="2" width="20" customWidth="1"/>
    <col min="3" max="3" width="16" customWidth="1"/>
    <col min="4" max="4" width="10" customWidth="1"/>
    <col min="5" max="5" width="14" customWidth="1"/>
    <col min="6" max="6" width="14" customWidth="1"/>
    <col min="7" max="7" width="22" customWidth="1"/>
    <col min="8" max="8" width="22" customWidth="1"/>
    <col min="9" max="9" width="58" customWidth="1"/>
  </cols>
  <sheetData>
    <row r="1">
      <c r="A1" t="inlineStr" s="2">
        <is>
          <t>task_submissions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  <c r="F1" t="inlineStr" s="0">
        <is>
          <t/>
        </is>
      </c>
      <c r="G1" t="inlineStr" s="0">
        <is>
          <t/>
        </is>
      </c>
      <c r="H1" t="inlineStr" s="0">
        <is>
          <t/>
        </is>
      </c>
      <c r="I1" t="inlineStr" s="0">
        <is>
          <t/>
        </is>
      </c>
    </row>
    <row r="2">
      <c r="A2" s="8">
        <f>HYPERLINK("#'Tables'!A1","Back to Tables")</f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  <c r="F2" t="inlineStr" s="0">
        <is>
          <t/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</row>
    <row r="3">
      <c r="A3" t="inlineStr" s="1">
        <is>
          <t>中文表名</t>
        </is>
      </c>
      <c r="B3" t="inlineStr" s="3">
        <is>
          <t>委託進度提交</t>
        </is>
      </c>
      <c r="C3" t="inlineStr" s="1">
        <is>
          <t>Domain</t>
        </is>
      </c>
      <c r="D3" t="inlineStr" s="3">
        <is>
          <t>Listing / Case Compatibility</t>
        </is>
      </c>
      <c r="E3" t="inlineStr" s="1">
        <is>
          <t>Summary</t>
        </is>
      </c>
      <c r="F3" t="inlineStr" s="3">
        <is>
          <t>委託進度或成果提交。</t>
        </is>
      </c>
      <c r="G3" t="inlineStr" s="3">
        <is>
          <t/>
        </is>
      </c>
      <c r="H3" t="inlineStr" s="3">
        <is>
          <t/>
        </is>
      </c>
      <c r="I3" t="inlineStr" s="3">
        <is>
          <t/>
        </is>
      </c>
    </row>
    <row r="4">
      <c r="A4" t="inlineStr" s="1">
        <is>
          <t>column_name</t>
        </is>
      </c>
      <c r="B4" t="inlineStr" s="1">
        <is>
          <t>column_name_zh</t>
        </is>
      </c>
      <c r="C4" t="inlineStr" s="1">
        <is>
          <t>data_type</t>
        </is>
      </c>
      <c r="D4" t="inlineStr" s="1">
        <is>
          <t>nullable</t>
        </is>
      </c>
      <c r="E4" t="inlineStr" s="1">
        <is>
          <t>default</t>
        </is>
      </c>
      <c r="F4" t="inlineStr" s="1">
        <is>
          <t>key_type</t>
        </is>
      </c>
      <c r="G4" t="inlineStr" s="1">
        <is>
          <t>references</t>
        </is>
      </c>
      <c r="H4" t="inlineStr" s="1">
        <is>
          <t>used_by</t>
        </is>
      </c>
      <c r="I4" t="inlineStr" s="1">
        <is>
          <t>definition</t>
        </is>
      </c>
    </row>
    <row r="5">
      <c r="A5" t="inlineStr" s="3">
        <is>
          <t>id</t>
        </is>
      </c>
      <c r="B5" t="inlineStr" s="3">
        <is>
          <t>主鍵 ID</t>
        </is>
      </c>
      <c r="C5" t="inlineStr" s="3">
        <is>
          <t>BIGSERIAL</t>
        </is>
      </c>
      <c r="D5" t="inlineStr" s="3">
        <is>
          <t>NO</t>
        </is>
      </c>
      <c r="E5" t="inlineStr" s="3">
        <is>
          <t/>
        </is>
      </c>
      <c r="F5" t="inlineStr" s="4">
        <is>
          <t>PK</t>
        </is>
      </c>
      <c r="G5" t="inlineStr" s="3">
        <is>
          <t/>
        </is>
      </c>
      <c r="H5" t="inlineStr" s="3">
        <is>
          <t>task_repo</t>
        </is>
      </c>
      <c r="I5" t="inlineStr" s="3">
        <is>
          <t>Submission primary key</t>
        </is>
      </c>
    </row>
    <row r="6">
      <c r="A6" t="inlineStr" s="3">
        <is>
          <t>task_id</t>
        </is>
      </c>
      <c r="B6" t="inlineStr" s="3">
        <is>
          <t>委託識別碼</t>
        </is>
      </c>
      <c r="C6" t="inlineStr" s="3">
        <is>
          <t>BIGINT</t>
        </is>
      </c>
      <c r="D6" t="inlineStr" s="3">
        <is>
          <t>NO</t>
        </is>
      </c>
      <c r="E6" t="inlineStr" s="3">
        <is>
          <t/>
        </is>
      </c>
      <c r="F6" t="inlineStr" s="5">
        <is>
          <t>FK</t>
        </is>
      </c>
      <c r="G6" t="inlineStr" s="3">
        <is>
          <t>tasks(id)</t>
        </is>
      </c>
      <c r="H6" t="inlineStr" s="3">
        <is>
          <t>task_repo</t>
        </is>
      </c>
      <c r="I6" t="inlineStr" s="3">
        <is>
          <t>Parent task row id</t>
        </is>
      </c>
    </row>
    <row r="7">
      <c r="A7" t="inlineStr" s="3">
        <is>
          <t>result_content</t>
        </is>
      </c>
      <c r="B7" t="inlineStr" s="3">
        <is>
          <t>進度內容</t>
        </is>
      </c>
      <c r="C7" t="inlineStr" s="3">
        <is>
          <t>TEXT</t>
        </is>
      </c>
      <c r="D7" t="inlineStr" s="3">
        <is>
          <t>NO</t>
        </is>
      </c>
      <c r="E7" t="inlineStr" s="3">
        <is>
          <t>'' </t>
        </is>
      </c>
      <c r="F7" t="inlineStr" s="3">
        <is>
          <t/>
        </is>
      </c>
      <c r="G7" t="inlineStr" s="3">
        <is>
          <t>task_repo</t>
        </is>
      </c>
      <c r="H7" t="inlineStr" s="3">
        <is>
          <t>Main submission content</t>
        </is>
      </c>
      <c r="I7" t="inlineStr" s="3">
        <is>
          <t/>
        </is>
      </c>
    </row>
    <row r="8">
      <c r="A8" t="inlineStr" s="3">
        <is>
          <t>result_file_url</t>
        </is>
      </c>
      <c r="B8" t="inlineStr" s="3">
        <is>
          <t>補充檔案連結</t>
        </is>
      </c>
      <c r="C8" t="inlineStr" s="3">
        <is>
          <t>VARCHAR(512)</t>
        </is>
      </c>
      <c r="D8" t="inlineStr" s="3">
        <is>
          <t>YES</t>
        </is>
      </c>
      <c r="E8" t="inlineStr" s="3">
        <is>
          <t>NULL</t>
        </is>
      </c>
      <c r="F8" t="inlineStr" s="3">
        <is>
          <t/>
        </is>
      </c>
      <c r="G8" t="inlineStr" s="3">
        <is>
          <t/>
        </is>
      </c>
      <c r="H8" t="inlineStr" s="3">
        <is>
          <t>task_repo</t>
        </is>
      </c>
      <c r="I8" t="inlineStr" s="3">
        <is>
          <t>Optional uploaded result file URL</t>
        </is>
      </c>
    </row>
    <row r="9">
      <c r="A9" t="inlineStr" s="3">
        <is>
          <t>result_hash</t>
        </is>
      </c>
      <c r="B9" t="inlineStr" s="3">
        <is>
          <t>內容雜湊</t>
        </is>
      </c>
      <c r="C9" t="inlineStr" s="3">
        <is>
          <t>VARCHAR(128)</t>
        </is>
      </c>
      <c r="D9" t="inlineStr" s="3">
        <is>
          <t>YES</t>
        </is>
      </c>
      <c r="E9" t="inlineStr" s="3">
        <is>
          <t>NULL</t>
        </is>
      </c>
      <c r="F9" t="inlineStr" s="3">
        <is>
          <t/>
        </is>
      </c>
      <c r="G9" t="inlineStr" s="3">
        <is>
          <t/>
        </is>
      </c>
      <c r="H9" t="inlineStr" s="3">
        <is>
          <t>task_repo</t>
        </is>
      </c>
      <c r="I9" t="inlineStr" s="3">
        <is>
          <t>Optional result integrity hash</t>
        </is>
      </c>
    </row>
    <row r="10">
      <c r="A10" t="inlineStr" s="3">
        <is>
          <t>submitted_at</t>
        </is>
      </c>
      <c r="B10" t="inlineStr" s="3">
        <is>
          <t>送出時間</t>
        </is>
      </c>
      <c r="C10" t="inlineStr" s="3">
        <is>
          <t>TIMESTAMPTZ</t>
        </is>
      </c>
      <c r="D10" t="inlineStr" s="3">
        <is>
          <t>NO</t>
        </is>
      </c>
      <c r="E10" t="inlineStr" s="3">
        <is>
          <t>NOW()</t>
        </is>
      </c>
      <c r="F10" t="inlineStr" s="3">
        <is>
          <t/>
        </is>
      </c>
      <c r="G10" t="inlineStr" s="3">
        <is>
          <t/>
        </is>
      </c>
      <c r="H10" t="inlineStr" s="3">
        <is>
          <t>task_repo</t>
        </is>
      </c>
      <c r="I10" t="inlineStr" s="3">
        <is>
          <t>Submission timestamp</t>
        </is>
      </c>
    </row>
  </sheetData>
  <autoFilter ref="A4:I10"/>
  <mergeCells count="2">
    <mergeCell ref="A1:I1"/>
    <mergeCell ref="A2:I2"/>
  </mergeCells>
</worksheet>
</file>

<file path=xl/worksheets/sheet8.xml><?xml version="1.0" encoding="utf-8"?>
<worksheet xmlns="http://schemas.openxmlformats.org/spreadsheetml/2006/main">
  <dimension ref="A1:I12"/>
  <sheetViews>
    <sheetView workbookViewId="0">
      <pane ySplit="3" topLeftCell="A4" activePane="bottomLeft" state="frozen"/>
      <selection pane="bottomLeft" activeCell="A1" sqref="A1"/>
    </sheetView>
  </sheetViews>
  <sheetFormatPr defaultRowHeight="15"/>
  <cols>
    <col min="1" max="1" width="22" customWidth="1"/>
    <col min="2" max="2" width="20" customWidth="1"/>
    <col min="3" max="3" width="16" customWidth="1"/>
    <col min="4" max="4" width="10" customWidth="1"/>
    <col min="5" max="5" width="14" customWidth="1"/>
    <col min="6" max="6" width="14" customWidth="1"/>
    <col min="7" max="7" width="22" customWidth="1"/>
    <col min="8" max="8" width="22" customWidth="1"/>
    <col min="9" max="9" width="58" customWidth="1"/>
  </cols>
  <sheetData>
    <row r="1">
      <c r="A1" t="inlineStr" s="2">
        <is>
          <t>task_blockchain_logs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  <c r="F1" t="inlineStr" s="0">
        <is>
          <t/>
        </is>
      </c>
      <c r="G1" t="inlineStr" s="0">
        <is>
          <t/>
        </is>
      </c>
      <c r="H1" t="inlineStr" s="0">
        <is>
          <t/>
        </is>
      </c>
      <c r="I1" t="inlineStr" s="0">
        <is>
          <t/>
        </is>
      </c>
    </row>
    <row r="2">
      <c r="A2" s="8">
        <f>HYPERLINK("#'Tables'!A1","Back to Tables")</f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  <c r="F2" t="inlineStr" s="0">
        <is>
          <t/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</row>
    <row r="3">
      <c r="A3" t="inlineStr" s="1">
        <is>
          <t>中文表名</t>
        </is>
      </c>
      <c r="B3" t="inlineStr" s="3">
        <is>
          <t>委託鏈上紀錄</t>
        </is>
      </c>
      <c r="C3" t="inlineStr" s="1">
        <is>
          <t>Domain</t>
        </is>
      </c>
      <c r="D3" t="inlineStr" s="3">
        <is>
          <t>Listing / Case Compatibility</t>
        </is>
      </c>
      <c r="E3" t="inlineStr" s="1">
        <is>
          <t>Summary</t>
        </is>
      </c>
      <c r="F3" t="inlineStr" s="3">
        <is>
          <t>委託鏈上操作歷程。</t>
        </is>
      </c>
      <c r="G3" t="inlineStr" s="3">
        <is>
          <t/>
        </is>
      </c>
      <c r="H3" t="inlineStr" s="3">
        <is>
          <t/>
        </is>
      </c>
      <c r="I3" t="inlineStr" s="3">
        <is>
          <t/>
        </is>
      </c>
    </row>
    <row r="4">
      <c r="A4" t="inlineStr" s="1">
        <is>
          <t>column_name</t>
        </is>
      </c>
      <c r="B4" t="inlineStr" s="1">
        <is>
          <t>column_name_zh</t>
        </is>
      </c>
      <c r="C4" t="inlineStr" s="1">
        <is>
          <t>data_type</t>
        </is>
      </c>
      <c r="D4" t="inlineStr" s="1">
        <is>
          <t>nullable</t>
        </is>
      </c>
      <c r="E4" t="inlineStr" s="1">
        <is>
          <t>default</t>
        </is>
      </c>
      <c r="F4" t="inlineStr" s="1">
        <is>
          <t>key_type</t>
        </is>
      </c>
      <c r="G4" t="inlineStr" s="1">
        <is>
          <t>references</t>
        </is>
      </c>
      <c r="H4" t="inlineStr" s="1">
        <is>
          <t>used_by</t>
        </is>
      </c>
      <c r="I4" t="inlineStr" s="1">
        <is>
          <t>definition</t>
        </is>
      </c>
    </row>
    <row r="5">
      <c r="A5" t="inlineStr" s="3">
        <is>
          <t>id</t>
        </is>
      </c>
      <c r="B5" t="inlineStr" s="3">
        <is>
          <t>主鍵 ID</t>
        </is>
      </c>
      <c r="C5" t="inlineStr" s="3">
        <is>
          <t>BIGSERIAL</t>
        </is>
      </c>
      <c r="D5" t="inlineStr" s="3">
        <is>
          <t>NO</t>
        </is>
      </c>
      <c r="E5" t="inlineStr" s="3">
        <is>
          <t/>
        </is>
      </c>
      <c r="F5" t="inlineStr" s="4">
        <is>
          <t>PK</t>
        </is>
      </c>
      <c r="G5" t="inlineStr" s="3">
        <is>
          <t/>
        </is>
      </c>
      <c r="H5" t="inlineStr" s="3">
        <is>
          <t>blockchain_log_repo</t>
        </is>
      </c>
      <c r="I5" t="inlineStr" s="3">
        <is>
          <t>Blockchain log primary key</t>
        </is>
      </c>
    </row>
    <row r="6">
      <c r="A6" t="inlineStr" s="3">
        <is>
          <t>task_id</t>
        </is>
      </c>
      <c r="B6" t="inlineStr" s="3">
        <is>
          <t>委託識別碼</t>
        </is>
      </c>
      <c r="C6" t="inlineStr" s="3">
        <is>
          <t>VARCHAR(64)</t>
        </is>
      </c>
      <c r="D6" t="inlineStr" s="3">
        <is>
          <t>NO</t>
        </is>
      </c>
      <c r="E6" t="inlineStr" s="3">
        <is>
          <t/>
        </is>
      </c>
      <c r="F6" t="inlineStr" s="5">
        <is>
          <t>FK</t>
        </is>
      </c>
      <c r="G6" t="inlineStr" s="3">
        <is>
          <t>tasks(task_id)</t>
        </is>
      </c>
      <c r="H6" t="inlineStr" s="3">
        <is>
          <t>task_module+logs_page</t>
        </is>
      </c>
      <c r="I6" t="inlineStr" s="3">
        <is>
          <t>Public task id linked to the task row</t>
        </is>
      </c>
    </row>
    <row r="7">
      <c r="A7" t="inlineStr" s="3">
        <is>
          <t>action</t>
        </is>
      </c>
      <c r="B7" t="inlineStr" s="3">
        <is>
          <t>動作類型</t>
        </is>
      </c>
      <c r="C7" t="inlineStr" s="3">
        <is>
          <t>VARCHAR(50)</t>
        </is>
      </c>
      <c r="D7" t="inlineStr" s="3">
        <is>
          <t>NO</t>
        </is>
      </c>
      <c r="E7" t="inlineStr" s="3">
        <is>
          <t/>
        </is>
      </c>
      <c r="F7" t="inlineStr" s="3">
        <is>
          <t/>
        </is>
      </c>
      <c r="G7" t="inlineStr" s="3">
        <is>
          <t> </t>
        </is>
      </c>
      <c r="H7" t="inlineStr" s="3">
        <is>
          <t>task_module+logs_page</t>
        </is>
      </c>
      <c r="I7" t="inlineStr" s="3">
        <is>
          <t>Recorded blockchain action type</t>
        </is>
      </c>
    </row>
    <row r="8">
      <c r="A8" t="inlineStr" s="3">
        <is>
          <t>tx_hash</t>
        </is>
      </c>
      <c r="B8" t="inlineStr" s="3">
        <is>
          <t>交易雜湊</t>
        </is>
      </c>
      <c r="C8" t="inlineStr" s="3">
        <is>
          <t>VARCHAR(128)</t>
        </is>
      </c>
      <c r="D8" t="inlineStr" s="3">
        <is>
          <t>NO</t>
        </is>
      </c>
      <c r="E8" t="inlineStr" s="3">
        <is>
          <t/>
        </is>
      </c>
      <c r="F8" t="inlineStr" s="7">
        <is>
          <t>INDEX</t>
        </is>
      </c>
      <c r="G8" t="inlineStr" s="3">
        <is>
          <t/>
        </is>
      </c>
      <c r="H8" t="inlineStr" s="3">
        <is>
          <t>task_module+logs_page</t>
        </is>
      </c>
      <c r="I8" t="inlineStr" s="3">
        <is>
          <t>Blockchain transaction hash</t>
        </is>
      </c>
    </row>
    <row r="9">
      <c r="A9" t="inlineStr" s="3">
        <is>
          <t>chain_id</t>
        </is>
      </c>
      <c r="B9" t="inlineStr" s="3">
        <is>
          <t>鏈 ID</t>
        </is>
      </c>
      <c r="C9" t="inlineStr" s="3">
        <is>
          <t>BIGINT</t>
        </is>
      </c>
      <c r="D9" t="inlineStr" s="3">
        <is>
          <t>NO</t>
        </is>
      </c>
      <c r="E9" t="inlineStr" s="3">
        <is>
          <t/>
        </is>
      </c>
      <c r="F9" t="inlineStr" s="3">
        <is>
          <t/>
        </is>
      </c>
      <c r="G9" t="inlineStr" s="3">
        <is>
          <t> </t>
        </is>
      </c>
      <c r="H9" t="inlineStr" s="3">
        <is>
          <t>task_module+logs_page</t>
        </is>
      </c>
      <c r="I9" t="inlineStr" s="3">
        <is>
          <t>Blockchain network id</t>
        </is>
      </c>
    </row>
    <row r="10">
      <c r="A10" t="inlineStr" s="3">
        <is>
          <t>contract_address</t>
        </is>
      </c>
      <c r="B10" t="inlineStr" s="3">
        <is>
          <t>合約地址</t>
        </is>
      </c>
      <c r="C10" t="inlineStr" s="3">
        <is>
          <t>VARCHAR(128)</t>
        </is>
      </c>
      <c r="D10" t="inlineStr" s="3">
        <is>
          <t>NO</t>
        </is>
      </c>
      <c r="E10" t="inlineStr" s="3">
        <is>
          <t/>
        </is>
      </c>
      <c r="F10" t="inlineStr" s="3">
        <is>
          <t/>
        </is>
      </c>
      <c r="G10" t="inlineStr" s="3">
        <is>
          <t> </t>
        </is>
      </c>
      <c r="H10" t="inlineStr" s="3">
        <is>
          <t>task_module+logs_page</t>
        </is>
      </c>
      <c r="I10" t="inlineStr" s="3">
        <is>
          <t>Contract address used for the action</t>
        </is>
      </c>
    </row>
    <row r="11">
      <c r="A11" t="inlineStr" s="3">
        <is>
          <t>status</t>
        </is>
      </c>
      <c r="B11" t="inlineStr" s="3">
        <is>
          <t>狀態</t>
        </is>
      </c>
      <c r="C11" t="inlineStr" s="3">
        <is>
          <t>VARCHAR(32)</t>
        </is>
      </c>
      <c r="D11" t="inlineStr" s="3">
        <is>
          <t>NO</t>
        </is>
      </c>
      <c r="E11" t="inlineStr" s="3">
        <is>
          <t/>
        </is>
      </c>
      <c r="F11" t="inlineStr" s="3">
        <is>
          <t/>
        </is>
      </c>
      <c r="G11" t="inlineStr" s="3">
        <is>
          <t> </t>
        </is>
      </c>
      <c r="H11" t="inlineStr" s="3">
        <is>
          <t>task_module+logs_page</t>
        </is>
      </c>
      <c r="I11" t="inlineStr" s="3">
        <is>
          <t>Action status at log time</t>
        </is>
      </c>
    </row>
    <row r="12">
      <c r="A12" t="inlineStr" s="3">
        <is>
          <t>created_at</t>
        </is>
      </c>
      <c r="B12" t="inlineStr" s="3">
        <is>
          <t>建立時間</t>
        </is>
      </c>
      <c r="C12" t="inlineStr" s="3">
        <is>
          <t>TIMESTAMPTZ</t>
        </is>
      </c>
      <c r="D12" t="inlineStr" s="3">
        <is>
          <t>NO</t>
        </is>
      </c>
      <c r="E12" t="inlineStr" s="3">
        <is>
          <t>NOW()</t>
        </is>
      </c>
      <c r="F12" t="inlineStr" s="3">
        <is>
          <t/>
        </is>
      </c>
      <c r="G12" t="inlineStr" s="3">
        <is>
          <t/>
        </is>
      </c>
      <c r="H12" t="inlineStr" s="3">
        <is>
          <t>task_module+logs_page</t>
        </is>
      </c>
      <c r="I12" t="inlineStr" s="3">
        <is>
          <t>Log creation timestamp</t>
        </is>
      </c>
    </row>
  </sheetData>
  <autoFilter ref="A4:I12"/>
  <mergeCells count="2">
    <mergeCell ref="A1:I1"/>
    <mergeCell ref="A2:I2"/>
  </mergeCells>
</worksheet>
</file>

<file path=xl/worksheets/sheet9.xml><?xml version="1.0" encoding="utf-8"?>
<worksheet xmlns="http://schemas.openxmlformats.org/spreadsheetml/2006/main">
  <dimension ref="A1:I12"/>
  <sheetViews>
    <sheetView workbookViewId="0">
      <pane ySplit="3" topLeftCell="A4" activePane="bottomLeft" state="frozen"/>
      <selection pane="bottomLeft" activeCell="A1" sqref="A1"/>
    </sheetView>
  </sheetViews>
  <sheetFormatPr defaultRowHeight="15"/>
  <cols>
    <col min="1" max="1" width="22" customWidth="1"/>
    <col min="2" max="2" width="20" customWidth="1"/>
    <col min="3" max="3" width="16" customWidth="1"/>
    <col min="4" max="4" width="10" customWidth="1"/>
    <col min="5" max="5" width="14" customWidth="1"/>
    <col min="6" max="6" width="14" customWidth="1"/>
    <col min="7" max="7" width="22" customWidth="1"/>
    <col min="8" max="8" width="22" customWidth="1"/>
    <col min="9" max="9" width="58" customWidth="1"/>
  </cols>
  <sheetData>
    <row r="1">
      <c r="A1" t="inlineStr" s="2">
        <is>
          <t>auth_nonce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  <c r="F1" t="inlineStr" s="0">
        <is>
          <t/>
        </is>
      </c>
      <c r="G1" t="inlineStr" s="0">
        <is>
          <t/>
        </is>
      </c>
      <c r="H1" t="inlineStr" s="0">
        <is>
          <t/>
        </is>
      </c>
      <c r="I1" t="inlineStr" s="0">
        <is>
          <t/>
        </is>
      </c>
    </row>
    <row r="2">
      <c r="A2" s="8">
        <f>HYPERLINK("#'Tables'!A1","Back to Tables")</f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  <c r="F2" t="inlineStr" s="0">
        <is>
          <t/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</row>
    <row r="3">
      <c r="A3" t="inlineStr" s="1">
        <is>
          <t>中文表名</t>
        </is>
      </c>
      <c r="B3" t="inlineStr" s="3">
        <is>
          <t>登入簽名 Nonce</t>
        </is>
      </c>
      <c r="C3" t="inlineStr" s="1">
        <is>
          <t>Domain</t>
        </is>
      </c>
      <c r="D3" t="inlineStr" s="3">
        <is>
          <t>Auth</t>
        </is>
      </c>
      <c r="E3" t="inlineStr" s="1">
        <is>
          <t>Summary</t>
        </is>
      </c>
      <c r="F3" t="inlineStr" s="3">
        <is>
          <t>SIWE nonce 暫存。</t>
        </is>
      </c>
      <c r="G3" t="inlineStr" s="3">
        <is>
          <t/>
        </is>
      </c>
      <c r="H3" t="inlineStr" s="3">
        <is>
          <t/>
        </is>
      </c>
      <c r="I3" t="inlineStr" s="3">
        <is>
          <t/>
        </is>
      </c>
    </row>
    <row r="4">
      <c r="A4" t="inlineStr" s="1">
        <is>
          <t>column_name</t>
        </is>
      </c>
      <c r="B4" t="inlineStr" s="1">
        <is>
          <t>column_name_zh</t>
        </is>
      </c>
      <c r="C4" t="inlineStr" s="1">
        <is>
          <t>data_type</t>
        </is>
      </c>
      <c r="D4" t="inlineStr" s="1">
        <is>
          <t>nullable</t>
        </is>
      </c>
      <c r="E4" t="inlineStr" s="1">
        <is>
          <t>default</t>
        </is>
      </c>
      <c r="F4" t="inlineStr" s="1">
        <is>
          <t>key_type</t>
        </is>
      </c>
      <c r="G4" t="inlineStr" s="1">
        <is>
          <t>references</t>
        </is>
      </c>
      <c r="H4" t="inlineStr" s="1">
        <is>
          <t>used_by</t>
        </is>
      </c>
      <c r="I4" t="inlineStr" s="1">
        <is>
          <t>definition</t>
        </is>
      </c>
    </row>
    <row r="5">
      <c r="A5" t="inlineStr" s="3">
        <is>
          <t>id</t>
        </is>
      </c>
      <c r="B5" t="inlineStr" s="3">
        <is>
          <t>主鍵 ID</t>
        </is>
      </c>
      <c r="C5" t="inlineStr" s="3">
        <is>
          <t>BIGSERIAL</t>
        </is>
      </c>
      <c r="D5" t="inlineStr" s="3">
        <is>
          <t>NO</t>
        </is>
      </c>
      <c r="E5" t="inlineStr" s="3">
        <is>
          <t/>
        </is>
      </c>
      <c r="F5" t="inlineStr" s="4">
        <is>
          <t>PK</t>
        </is>
      </c>
      <c r="G5" t="inlineStr" s="3">
        <is>
          <t/>
        </is>
      </c>
      <c r="H5" t="inlineStr" s="3">
        <is>
          <t>auth_module</t>
        </is>
      </c>
      <c r="I5" t="inlineStr" s="3">
        <is>
          <t>Nonce primary key</t>
        </is>
      </c>
    </row>
    <row r="6">
      <c r="A6" t="inlineStr" s="3">
        <is>
          <t>wallet_address</t>
        </is>
      </c>
      <c r="B6" t="inlineStr" s="3">
        <is>
          <t>錢包地址</t>
        </is>
      </c>
      <c r="C6" t="inlineStr" s="3">
        <is>
          <t>VARCHAR(255)</t>
        </is>
      </c>
      <c r="D6" t="inlineStr" s="3">
        <is>
          <t>NO</t>
        </is>
      </c>
      <c r="E6" t="inlineStr" s="3">
        <is>
          <t/>
        </is>
      </c>
      <c r="F6" t="inlineStr" s="7">
        <is>
          <t>INDEX</t>
        </is>
      </c>
      <c r="G6" t="inlineStr" s="3">
        <is>
          <t/>
        </is>
      </c>
      <c r="H6" t="inlineStr" s="3">
        <is>
          <t>auth_module+onboarding</t>
        </is>
      </c>
      <c r="I6" t="inlineStr" s="3">
        <is>
          <t>Wallet address that requested the nonce</t>
        </is>
      </c>
    </row>
    <row r="7">
      <c r="A7" t="inlineStr" s="3">
        <is>
          <t>nonce</t>
        </is>
      </c>
      <c r="B7" t="inlineStr" s="3">
        <is>
          <t>Nonce 值</t>
        </is>
      </c>
      <c r="C7" t="inlineStr" s="3">
        <is>
          <t>VARCHAR(255)</t>
        </is>
      </c>
      <c r="D7" t="inlineStr" s="3">
        <is>
          <t>NO</t>
        </is>
      </c>
      <c r="E7" t="inlineStr" s="3">
        <is>
          <t/>
        </is>
      </c>
      <c r="F7" t="inlineStr" s="3">
        <is>
          <t/>
        </is>
      </c>
      <c r="G7" t="inlineStr" s="3">
        <is>
          <t> </t>
        </is>
      </c>
      <c r="H7" t="inlineStr" s="3">
        <is>
          <t>auth_module+onboarding</t>
        </is>
      </c>
      <c r="I7" t="inlineStr" s="3">
        <is>
          <t>SIWE nonce string</t>
        </is>
      </c>
    </row>
    <row r="8">
      <c r="A8" t="inlineStr" s="3">
        <is>
          <t>issued_at</t>
        </is>
      </c>
      <c r="B8" t="inlineStr" s="3">
        <is>
          <t>簽發時間</t>
        </is>
      </c>
      <c r="C8" t="inlineStr" s="3">
        <is>
          <t>TIMESTAMPTZ</t>
        </is>
      </c>
      <c r="D8" t="inlineStr" s="3">
        <is>
          <t>NO</t>
        </is>
      </c>
      <c r="E8" t="inlineStr" s="3">
        <is>
          <t>NOW()</t>
        </is>
      </c>
      <c r="F8" t="inlineStr" s="3">
        <is>
          <t/>
        </is>
      </c>
      <c r="G8" t="inlineStr" s="3">
        <is>
          <t/>
        </is>
      </c>
      <c r="H8" t="inlineStr" s="3">
        <is>
          <t>auth_module+onboarding</t>
        </is>
      </c>
      <c r="I8" t="inlineStr" s="3">
        <is>
          <t>Logical nonce issuance time</t>
        </is>
      </c>
    </row>
    <row r="9">
      <c r="A9" t="inlineStr" s="3">
        <is>
          <t>expired_at</t>
        </is>
      </c>
      <c r="B9" t="inlineStr" s="3">
        <is>
          <t>到期時間</t>
        </is>
      </c>
      <c r="C9" t="inlineStr" s="3">
        <is>
          <t>TIMESTAMPTZ</t>
        </is>
      </c>
      <c r="D9" t="inlineStr" s="3">
        <is>
          <t>NO</t>
        </is>
      </c>
      <c r="E9" t="inlineStr" s="3">
        <is>
          <t/>
        </is>
      </c>
      <c r="F9" t="inlineStr" s="3">
        <is>
          <t/>
        </is>
      </c>
      <c r="G9" t="inlineStr" s="3">
        <is>
          <t> </t>
        </is>
      </c>
      <c r="H9" t="inlineStr" s="3">
        <is>
          <t>auth_module+onboarding</t>
        </is>
      </c>
      <c r="I9" t="inlineStr" s="3">
        <is>
          <t>Nonce expiry time</t>
        </is>
      </c>
    </row>
    <row r="10">
      <c r="A10" t="inlineStr" s="3">
        <is>
          <t>used</t>
        </is>
      </c>
      <c r="B10" t="inlineStr" s="3">
        <is>
          <t>是否已使用</t>
        </is>
      </c>
      <c r="C10" t="inlineStr" s="3">
        <is>
          <t>BOOLEAN</t>
        </is>
      </c>
      <c r="D10" t="inlineStr" s="3">
        <is>
          <t>NO</t>
        </is>
      </c>
      <c r="E10" t="inlineStr" s="3">
        <is>
          <t>FALSE</t>
        </is>
      </c>
      <c r="F10" t="inlineStr" s="3">
        <is>
          <t/>
        </is>
      </c>
      <c r="G10" t="inlineStr" s="3">
        <is>
          <t/>
        </is>
      </c>
      <c r="H10" t="inlineStr" s="3">
        <is>
          <t>auth_module+onboarding</t>
        </is>
      </c>
      <c r="I10" t="inlineStr" s="3">
        <is>
          <t>Whether nonce has been consumed</t>
        </is>
      </c>
    </row>
    <row r="11">
      <c r="A11" t="inlineStr" s="3">
        <is>
          <t>created_at</t>
        </is>
      </c>
      <c r="B11" t="inlineStr" s="3">
        <is>
          <t>建立時間</t>
        </is>
      </c>
      <c r="C11" t="inlineStr" s="3">
        <is>
          <t>TIMESTAMPTZ</t>
        </is>
      </c>
      <c r="D11" t="inlineStr" s="3">
        <is>
          <t>NO</t>
        </is>
      </c>
      <c r="E11" t="inlineStr" s="3">
        <is>
          <t>NOW()</t>
        </is>
      </c>
      <c r="F11" t="inlineStr" s="3">
        <is>
          <t/>
        </is>
      </c>
      <c r="G11" t="inlineStr" s="3">
        <is>
          <t/>
        </is>
      </c>
      <c r="H11" t="inlineStr" s="3">
        <is>
          <t>auth_module</t>
        </is>
      </c>
      <c r="I11" t="inlineStr" s="3">
        <is>
          <t>Row creation timestamp</t>
        </is>
      </c>
    </row>
    <row r="12">
      <c r="A12" t="inlineStr" s="3">
        <is>
          <t>updated_at</t>
        </is>
      </c>
      <c r="B12" t="inlineStr" s="3">
        <is>
          <t>更新時間</t>
        </is>
      </c>
      <c r="C12" t="inlineStr" s="3">
        <is>
          <t>TIMESTAMPTZ</t>
        </is>
      </c>
      <c r="D12" t="inlineStr" s="3">
        <is>
          <t>NO</t>
        </is>
      </c>
      <c r="E12" t="inlineStr" s="3">
        <is>
          <t>NOW()</t>
        </is>
      </c>
      <c r="F12" t="inlineStr" s="3">
        <is>
          <t/>
        </is>
      </c>
      <c r="G12" t="inlineStr" s="3">
        <is>
          <t/>
        </is>
      </c>
      <c r="H12" t="inlineStr" s="3">
        <is>
          <t>auth_module</t>
        </is>
      </c>
      <c r="I12" t="inlineStr" s="3">
        <is>
          <t>Row update timestamp</t>
        </is>
      </c>
    </row>
  </sheetData>
  <autoFilter ref="A4:I12"/>
  <mergeCells count="2">
    <mergeCell ref="A1:I1"/>
    <mergeCell ref="A2:I2"/>
  </mergeCells>
</worksheet>
</file>

<file path=xl/worksheets/sheet10.xml><?xml version="1.0" encoding="utf-8"?>
<worksheet xmlns="http://schemas.openxmlformats.org/spreadsheetml/2006/main">
  <dimension ref="A1:I12"/>
  <sheetViews>
    <sheetView workbookViewId="0">
      <pane ySplit="3" topLeftCell="A4" activePane="bottomLeft" state="frozen"/>
      <selection pane="bottomLeft" activeCell="A1" sqref="A1"/>
    </sheetView>
  </sheetViews>
  <sheetFormatPr defaultRowHeight="15"/>
  <cols>
    <col min="1" max="1" width="22" customWidth="1"/>
    <col min="2" max="2" width="20" customWidth="1"/>
    <col min="3" max="3" width="16" customWidth="1"/>
    <col min="4" max="4" width="10" customWidth="1"/>
    <col min="5" max="5" width="14" customWidth="1"/>
    <col min="6" max="6" width="14" customWidth="1"/>
    <col min="7" max="7" width="22" customWidth="1"/>
    <col min="8" max="8" width="22" customWidth="1"/>
    <col min="9" max="9" width="58" customWidth="1"/>
  </cols>
  <sheetData>
    <row r="1">
      <c r="A1" t="inlineStr" s="2">
        <is>
          <t>wallet_session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  <c r="F1" t="inlineStr" s="0">
        <is>
          <t/>
        </is>
      </c>
      <c r="G1" t="inlineStr" s="0">
        <is>
          <t/>
        </is>
      </c>
      <c r="H1" t="inlineStr" s="0">
        <is>
          <t/>
        </is>
      </c>
      <c r="I1" t="inlineStr" s="0">
        <is>
          <t/>
        </is>
      </c>
    </row>
    <row r="2">
      <c r="A2" s="8">
        <f>HYPERLINK("#'Tables'!A1","Back to Tables")</f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  <c r="F2" t="inlineStr" s="0">
        <is>
          <t/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</row>
    <row r="3">
      <c r="A3" t="inlineStr" s="1">
        <is>
          <t>中文表名</t>
        </is>
      </c>
      <c r="B3" t="inlineStr" s="3">
        <is>
          <t>登入 Session</t>
        </is>
      </c>
      <c r="C3" t="inlineStr" s="1">
        <is>
          <t>Domain</t>
        </is>
      </c>
      <c r="D3" t="inlineStr" s="3">
        <is>
          <t>Auth</t>
        </is>
      </c>
      <c r="E3" t="inlineStr" s="1">
        <is>
          <t>Summary</t>
        </is>
      </c>
      <c r="F3" t="inlineStr" s="3">
        <is>
          <t>登入 cookie 對應的 session。</t>
        </is>
      </c>
      <c r="G3" t="inlineStr" s="3">
        <is>
          <t/>
        </is>
      </c>
      <c r="H3" t="inlineStr" s="3">
        <is>
          <t/>
        </is>
      </c>
      <c r="I3" t="inlineStr" s="3">
        <is>
          <t/>
        </is>
      </c>
    </row>
    <row r="4">
      <c r="A4" t="inlineStr" s="1">
        <is>
          <t>column_name</t>
        </is>
      </c>
      <c r="B4" t="inlineStr" s="1">
        <is>
          <t>column_name_zh</t>
        </is>
      </c>
      <c r="C4" t="inlineStr" s="1">
        <is>
          <t>data_type</t>
        </is>
      </c>
      <c r="D4" t="inlineStr" s="1">
        <is>
          <t>nullable</t>
        </is>
      </c>
      <c r="E4" t="inlineStr" s="1">
        <is>
          <t>default</t>
        </is>
      </c>
      <c r="F4" t="inlineStr" s="1">
        <is>
          <t>key_type</t>
        </is>
      </c>
      <c r="G4" t="inlineStr" s="1">
        <is>
          <t>references</t>
        </is>
      </c>
      <c r="H4" t="inlineStr" s="1">
        <is>
          <t>used_by</t>
        </is>
      </c>
      <c r="I4" t="inlineStr" s="1">
        <is>
          <t>definition</t>
        </is>
      </c>
    </row>
    <row r="5">
      <c r="A5" t="inlineStr" s="3">
        <is>
          <t>id</t>
        </is>
      </c>
      <c r="B5" t="inlineStr" s="3">
        <is>
          <t>主鍵 ID</t>
        </is>
      </c>
      <c r="C5" t="inlineStr" s="3">
        <is>
          <t>BIGSERIAL</t>
        </is>
      </c>
      <c r="D5" t="inlineStr" s="3">
        <is>
          <t>NO</t>
        </is>
      </c>
      <c r="E5" t="inlineStr" s="3">
        <is>
          <t/>
        </is>
      </c>
      <c r="F5" t="inlineStr" s="4">
        <is>
          <t>PK</t>
        </is>
      </c>
      <c r="G5" t="inlineStr" s="3">
        <is>
          <t/>
        </is>
      </c>
      <c r="H5" t="inlineStr" s="3">
        <is>
          <t>session_repo</t>
        </is>
      </c>
      <c r="I5" t="inlineStr" s="3">
        <is>
          <t>Session primary key</t>
        </is>
      </c>
    </row>
    <row r="6">
      <c r="A6" t="inlineStr" s="3">
        <is>
          <t>session_token</t>
        </is>
      </c>
      <c r="B6" t="inlineStr" s="3">
        <is>
          <t>Session Token</t>
        </is>
      </c>
      <c r="C6" t="inlineStr" s="3">
        <is>
          <t>VARCHAR(128)</t>
        </is>
      </c>
      <c r="D6" t="inlineStr" s="3">
        <is>
          <t>NO</t>
        </is>
      </c>
      <c r="E6" t="inlineStr" s="3">
        <is>
          <t/>
        </is>
      </c>
      <c r="F6" t="inlineStr" s="6">
        <is>
          <t>UNIQUE</t>
        </is>
      </c>
      <c r="G6" t="inlineStr" s="3">
        <is>
          <t/>
        </is>
      </c>
      <c r="H6" t="inlineStr" s="3">
        <is>
          <t>auth_module+onboarding</t>
        </is>
      </c>
      <c r="I6" t="inlineStr" s="3">
        <is>
          <t>Opaque session token stored in cookie</t>
        </is>
      </c>
    </row>
    <row r="7">
      <c r="A7" t="inlineStr" s="3">
        <is>
          <t>wallet_address</t>
        </is>
      </c>
      <c r="B7" t="inlineStr" s="3">
        <is>
          <t>錢包地址</t>
        </is>
      </c>
      <c r="C7" t="inlineStr" s="3">
        <is>
          <t>VARCHAR(255)</t>
        </is>
      </c>
      <c r="D7" t="inlineStr" s="3">
        <is>
          <t>NO</t>
        </is>
      </c>
      <c r="E7" t="inlineStr" s="3">
        <is>
          <t/>
        </is>
      </c>
      <c r="F7" t="inlineStr" s="7">
        <is>
          <t>INDEX</t>
        </is>
      </c>
      <c r="G7" t="inlineStr" s="3">
        <is>
          <t/>
        </is>
      </c>
      <c r="H7" t="inlineStr" s="3">
        <is>
          <t>auth_module+onboarding</t>
        </is>
      </c>
      <c r="I7" t="inlineStr" s="3">
        <is>
          <t>Wallet address bound to the session</t>
        </is>
      </c>
    </row>
    <row r="8">
      <c r="A8" t="inlineStr" s="3">
        <is>
          <t>chain_id</t>
        </is>
      </c>
      <c r="B8" t="inlineStr" s="3">
        <is>
          <t>鏈 ID</t>
        </is>
      </c>
      <c r="C8" t="inlineStr" s="3">
        <is>
          <t>VARCHAR(32)</t>
        </is>
      </c>
      <c r="D8" t="inlineStr" s="3">
        <is>
          <t>NO</t>
        </is>
      </c>
      <c r="E8" t="inlineStr" s="3">
        <is>
          <t/>
        </is>
      </c>
      <c r="F8" t="inlineStr" s="3">
        <is>
          <t/>
        </is>
      </c>
      <c r="G8" t="inlineStr" s="3">
        <is>
          <t> </t>
        </is>
      </c>
      <c r="H8" t="inlineStr" s="3">
        <is>
          <t>auth_module+onboarding</t>
        </is>
      </c>
      <c r="I8" t="inlineStr" s="3">
        <is>
          <t>Chain id stored with the session</t>
        </is>
      </c>
    </row>
    <row r="9">
      <c r="A9" t="inlineStr" s="3">
        <is>
          <t>expired_at</t>
        </is>
      </c>
      <c r="B9" t="inlineStr" s="3">
        <is>
          <t>到期時間</t>
        </is>
      </c>
      <c r="C9" t="inlineStr" s="3">
        <is>
          <t>TIMESTAMPTZ</t>
        </is>
      </c>
      <c r="D9" t="inlineStr" s="3">
        <is>
          <t>NO</t>
        </is>
      </c>
      <c r="E9" t="inlineStr" s="3">
        <is>
          <t/>
        </is>
      </c>
      <c r="F9" t="inlineStr" s="3">
        <is>
          <t/>
        </is>
      </c>
      <c r="G9" t="inlineStr" s="3">
        <is>
          <t> </t>
        </is>
      </c>
      <c r="H9" t="inlineStr" s="3">
        <is>
          <t>auth_module+onboarding</t>
        </is>
      </c>
      <c r="I9" t="inlineStr" s="3">
        <is>
          <t>Session expiry time</t>
        </is>
      </c>
    </row>
    <row r="10">
      <c r="A10" t="inlineStr" s="3">
        <is>
          <t>revoked</t>
        </is>
      </c>
      <c r="B10" t="inlineStr" s="3">
        <is>
          <t>是否撤銷</t>
        </is>
      </c>
      <c r="C10" t="inlineStr" s="3">
        <is>
          <t>BOOLEAN</t>
        </is>
      </c>
      <c r="D10" t="inlineStr" s="3">
        <is>
          <t>NO</t>
        </is>
      </c>
      <c r="E10" t="inlineStr" s="3">
        <is>
          <t>FALSE</t>
        </is>
      </c>
      <c r="F10" t="inlineStr" s="3">
        <is>
          <t/>
        </is>
      </c>
      <c r="G10" t="inlineStr" s="3">
        <is>
          <t/>
        </is>
      </c>
      <c r="H10" t="inlineStr" s="3">
        <is>
          <t>auth_module+onboarding</t>
        </is>
      </c>
      <c r="I10" t="inlineStr" s="3">
        <is>
          <t>Whether session was revoked</t>
        </is>
      </c>
    </row>
    <row r="11">
      <c r="A11" t="inlineStr" s="3">
        <is>
          <t>created_at</t>
        </is>
      </c>
      <c r="B11" t="inlineStr" s="3">
        <is>
          <t>建立時間</t>
        </is>
      </c>
      <c r="C11" t="inlineStr" s="3">
        <is>
          <t>TIMESTAMPTZ</t>
        </is>
      </c>
      <c r="D11" t="inlineStr" s="3">
        <is>
          <t>NO</t>
        </is>
      </c>
      <c r="E11" t="inlineStr" s="3">
        <is>
          <t>NOW()</t>
        </is>
      </c>
      <c r="F11" t="inlineStr" s="3">
        <is>
          <t/>
        </is>
      </c>
      <c r="G11" t="inlineStr" s="3">
        <is>
          <t/>
        </is>
      </c>
      <c r="H11" t="inlineStr" s="3">
        <is>
          <t>session_repo</t>
        </is>
      </c>
      <c r="I11" t="inlineStr" s="3">
        <is>
          <t>Row creation timestamp</t>
        </is>
      </c>
    </row>
    <row r="12">
      <c r="A12" t="inlineStr" s="3">
        <is>
          <t>updated_at</t>
        </is>
      </c>
      <c r="B12" t="inlineStr" s="3">
        <is>
          <t>更新時間</t>
        </is>
      </c>
      <c r="C12" t="inlineStr" s="3">
        <is>
          <t>TIMESTAMPTZ</t>
        </is>
      </c>
      <c r="D12" t="inlineStr" s="3">
        <is>
          <t>NO</t>
        </is>
      </c>
      <c r="E12" t="inlineStr" s="3">
        <is>
          <t>NOW()</t>
        </is>
      </c>
      <c r="F12" t="inlineStr" s="3">
        <is>
          <t/>
        </is>
      </c>
      <c r="G12" t="inlineStr" s="3">
        <is>
          <t/>
        </is>
      </c>
      <c r="H12" t="inlineStr" s="3">
        <is>
          <t>session_repo</t>
        </is>
      </c>
      <c r="I12" t="inlineStr" s="3">
        <is>
          <t>Row update timestamp</t>
        </is>
      </c>
    </row>
  </sheetData>
  <autoFilter ref="A4:I12"/>
  <mergeCells count="2">
    <mergeCell ref="A1:I1"/>
    <mergeCell ref="A2:I2"/>
  </mergeCells>
</worksheet>
</file>

<file path=xl/worksheets/sheet11.xml><?xml version="1.0" encoding="utf-8"?>
<worksheet xmlns="http://schemas.openxmlformats.org/spreadsheetml/2006/main">
  <dimension ref="A1:I26"/>
  <sheetViews>
    <sheetView workbookViewId="0">
      <pane ySplit="3" topLeftCell="A4" activePane="bottomLeft" state="frozen"/>
      <selection pane="bottomLeft" activeCell="A1" sqref="A1"/>
    </sheetView>
  </sheetViews>
  <sheetFormatPr defaultRowHeight="15"/>
  <cols>
    <col min="1" max="1" width="22" customWidth="1"/>
    <col min="2" max="2" width="20" customWidth="1"/>
    <col min="3" max="3" width="16" customWidth="1"/>
    <col min="4" max="4" width="10" customWidth="1"/>
    <col min="5" max="5" width="14" customWidth="1"/>
    <col min="6" max="6" width="14" customWidth="1"/>
    <col min="7" max="7" width="22" customWidth="1"/>
    <col min="8" max="8" width="22" customWidth="1"/>
    <col min="9" max="9" width="58" customWidth="1"/>
  </cols>
  <sheetData>
    <row r="1">
      <c r="A1" t="inlineStr" s="2">
        <is>
          <t>kyc_submissions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  <c r="F1" t="inlineStr" s="0">
        <is>
          <t/>
        </is>
      </c>
      <c r="G1" t="inlineStr" s="0">
        <is>
          <t/>
        </is>
      </c>
      <c r="H1" t="inlineStr" s="0">
        <is>
          <t/>
        </is>
      </c>
      <c r="I1" t="inlineStr" s="0">
        <is>
          <t/>
        </is>
      </c>
    </row>
    <row r="2">
      <c r="A2" s="8">
        <f>HYPERLINK("#'Tables'!A1","Back to Tables")</f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  <c r="F2" t="inlineStr" s="0">
        <is>
          <t/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</row>
    <row r="3">
      <c r="A3" t="inlineStr" s="1">
        <is>
          <t>中文表名</t>
        </is>
      </c>
      <c r="B3" t="inlineStr" s="3">
        <is>
          <t>正式 KYC 送審</t>
        </is>
      </c>
      <c r="C3" t="inlineStr" s="1">
        <is>
          <t>Domain</t>
        </is>
      </c>
      <c r="D3" t="inlineStr" s="3">
        <is>
          <t>Identity / KYC</t>
        </is>
      </c>
      <c r="E3" t="inlineStr" s="1">
        <is>
          <t>Summary</t>
        </is>
      </c>
      <c r="F3" t="inlineStr" s="3">
        <is>
          <t>正式 KYC 送審與審查軌跡。</t>
        </is>
      </c>
      <c r="G3" t="inlineStr" s="3">
        <is>
          <t/>
        </is>
      </c>
      <c r="H3" t="inlineStr" s="3">
        <is>
          <t/>
        </is>
      </c>
      <c r="I3" t="inlineStr" s="3">
        <is>
          <t/>
        </is>
      </c>
    </row>
    <row r="4">
      <c r="A4" t="inlineStr" s="1">
        <is>
          <t>column_name</t>
        </is>
      </c>
      <c r="B4" t="inlineStr" s="1">
        <is>
          <t>column_name_zh</t>
        </is>
      </c>
      <c r="C4" t="inlineStr" s="1">
        <is>
          <t>data_type</t>
        </is>
      </c>
      <c r="D4" t="inlineStr" s="1">
        <is>
          <t>nullable</t>
        </is>
      </c>
      <c r="E4" t="inlineStr" s="1">
        <is>
          <t>default</t>
        </is>
      </c>
      <c r="F4" t="inlineStr" s="1">
        <is>
          <t>key_type</t>
        </is>
      </c>
      <c r="G4" t="inlineStr" s="1">
        <is>
          <t>references</t>
        </is>
      </c>
      <c r="H4" t="inlineStr" s="1">
        <is>
          <t>used_by</t>
        </is>
      </c>
      <c r="I4" t="inlineStr" s="1">
        <is>
          <t>definition</t>
        </is>
      </c>
    </row>
    <row r="5">
      <c r="A5" t="inlineStr" s="3">
        <is>
          <t>id</t>
        </is>
      </c>
      <c r="B5" t="inlineStr" s="3">
        <is>
          <t>主鍵 ID</t>
        </is>
      </c>
      <c r="C5" t="inlineStr" s="3">
        <is>
          <t>BIGSERIAL</t>
        </is>
      </c>
      <c r="D5" t="inlineStr" s="3">
        <is>
          <t>NO</t>
        </is>
      </c>
      <c r="E5" t="inlineStr" s="3">
        <is>
          <t/>
        </is>
      </c>
      <c r="F5" t="inlineStr" s="4">
        <is>
          <t>PK</t>
        </is>
      </c>
      <c r="G5" t="inlineStr" s="3">
        <is>
          <t/>
        </is>
      </c>
      <c r="H5" t="inlineStr" s="3">
        <is>
          <t>kyc_repo</t>
        </is>
      </c>
      <c r="I5" t="inlineStr" s="3">
        <is>
          <t>Formal KYC submission primary key</t>
        </is>
      </c>
    </row>
    <row r="6">
      <c r="A6" t="inlineStr" s="3">
        <is>
          <t>user_id</t>
        </is>
      </c>
      <c r="B6" t="inlineStr" s="3">
        <is>
          <t>會員 ID</t>
        </is>
      </c>
      <c r="C6" t="inlineStr" s="3">
        <is>
          <t>BIGINT</t>
        </is>
      </c>
      <c r="D6" t="inlineStr" s="3">
        <is>
          <t>NO</t>
        </is>
      </c>
      <c r="E6" t="inlineStr" s="3">
        <is>
          <t/>
        </is>
      </c>
      <c r="F6" t="inlineStr" s="5">
        <is>
          <t>FK</t>
        </is>
      </c>
      <c r="G6" t="inlineStr" s="3">
        <is>
          <t>users(id)</t>
        </is>
      </c>
      <c r="H6" t="inlineStr" s="3">
        <is>
          <t>kyc_repo</t>
        </is>
      </c>
      <c r="I6" t="inlineStr" s="3">
        <is>
          <t>Owning user row id</t>
        </is>
      </c>
    </row>
    <row r="7">
      <c r="A7" t="inlineStr" s="3">
        <is>
          <t>wallet_address</t>
        </is>
      </c>
      <c r="B7" t="inlineStr" s="3">
        <is>
          <t>錢包地址</t>
        </is>
      </c>
      <c r="C7" t="inlineStr" s="3">
        <is>
          <t>VARCHAR(255)</t>
        </is>
      </c>
      <c r="D7" t="inlineStr" s="3">
        <is>
          <t>NO</t>
        </is>
      </c>
      <c r="E7" t="inlineStr" s="3">
        <is>
          <t/>
        </is>
      </c>
      <c r="F7" t="inlineStr" s="7">
        <is>
          <t>INDEX</t>
        </is>
      </c>
      <c r="G7" t="inlineStr" s="3">
        <is>
          <t/>
        </is>
      </c>
      <c r="H7" t="inlineStr" s="3">
        <is>
          <t>kyc_repo</t>
        </is>
      </c>
      <c r="I7" t="inlineStr" s="3">
        <is>
          <t>Wallet snapshot at submission time</t>
        </is>
      </c>
    </row>
    <row r="8">
      <c r="A8" t="inlineStr" s="3">
        <is>
          <t>id_front_path</t>
        </is>
      </c>
      <c r="B8" t="inlineStr" s="3">
        <is>
          <t>證件正面路徑</t>
        </is>
      </c>
      <c r="C8" t="inlineStr" s="3">
        <is>
          <t>VARCHAR(512)</t>
        </is>
      </c>
      <c r="D8" t="inlineStr" s="3">
        <is>
          <t>YES</t>
        </is>
      </c>
      <c r="E8" t="inlineStr" s="3">
        <is>
          <t>NULL</t>
        </is>
      </c>
      <c r="F8" t="inlineStr" s="3">
        <is>
          <t/>
        </is>
      </c>
      <c r="G8" t="inlineStr" s="3">
        <is>
          <t/>
        </is>
      </c>
      <c r="H8" t="inlineStr" s="3">
        <is>
          <t>kyc_repo</t>
        </is>
      </c>
      <c r="I8" t="inlineStr" s="3">
        <is>
          <t>MinIO path for front-side ID image</t>
        </is>
      </c>
    </row>
    <row r="9">
      <c r="A9" t="inlineStr" s="3">
        <is>
          <t>id_back_path</t>
        </is>
      </c>
      <c r="B9" t="inlineStr" s="3">
        <is>
          <t>證件反面路徑</t>
        </is>
      </c>
      <c r="C9" t="inlineStr" s="3">
        <is>
          <t>VARCHAR(512)</t>
        </is>
      </c>
      <c r="D9" t="inlineStr" s="3">
        <is>
          <t>YES</t>
        </is>
      </c>
      <c r="E9" t="inlineStr" s="3">
        <is>
          <t>NULL</t>
        </is>
      </c>
      <c r="F9" t="inlineStr" s="3">
        <is>
          <t/>
        </is>
      </c>
      <c r="G9" t="inlineStr" s="3">
        <is>
          <t/>
        </is>
      </c>
      <c r="H9" t="inlineStr" s="3">
        <is>
          <t>kyc_repo</t>
        </is>
      </c>
      <c r="I9" t="inlineStr" s="3">
        <is>
          <t>MinIO path for back-side ID image</t>
        </is>
      </c>
    </row>
    <row r="10">
      <c r="A10" t="inlineStr" s="3">
        <is>
          <t>selfie_path</t>
        </is>
      </c>
      <c r="B10" t="inlineStr" s="3">
        <is>
          <t>自拍路徑</t>
        </is>
      </c>
      <c r="C10" t="inlineStr" s="3">
        <is>
          <t>VARCHAR(512)</t>
        </is>
      </c>
      <c r="D10" t="inlineStr" s="3">
        <is>
          <t>YES</t>
        </is>
      </c>
      <c r="E10" t="inlineStr" s="3">
        <is>
          <t>NULL</t>
        </is>
      </c>
      <c r="F10" t="inlineStr" s="3">
        <is>
          <t/>
        </is>
      </c>
      <c r="G10" t="inlineStr" s="3">
        <is>
          <t/>
        </is>
      </c>
      <c r="H10" t="inlineStr" s="3">
        <is>
          <t>kyc_repo</t>
        </is>
      </c>
      <c r="I10" t="inlineStr" s="3">
        <is>
          <t>MinIO path for selfie image</t>
        </is>
      </c>
    </row>
    <row r="11">
      <c r="A11" t="inlineStr" s="3">
        <is>
          <t>ocr_name</t>
        </is>
      </c>
      <c r="B11" t="inlineStr" s="3">
        <is>
          <t>OCR 姓名</t>
        </is>
      </c>
      <c r="C11" t="inlineStr" s="3">
        <is>
          <t>VARCHAR(100)</t>
        </is>
      </c>
      <c r="D11" t="inlineStr" s="3">
        <is>
          <t>YES</t>
        </is>
      </c>
      <c r="E11" t="inlineStr" s="3">
        <is>
          <t>NULL</t>
        </is>
      </c>
      <c r="F11" t="inlineStr" s="3">
        <is>
          <t/>
        </is>
      </c>
      <c r="G11" t="inlineStr" s="3">
        <is>
          <t/>
        </is>
      </c>
      <c r="H11" t="inlineStr" s="3">
        <is>
          <t>kyc_repo</t>
        </is>
      </c>
      <c r="I11" t="inlineStr" s="3">
        <is>
          <t>OCR extracted name</t>
        </is>
      </c>
    </row>
    <row r="12">
      <c r="A12" t="inlineStr" s="3">
        <is>
          <t>identity_hash</t>
        </is>
      </c>
      <c r="B12" t="inlineStr" s="3">
        <is>
          <t>身分綁定雜湊</t>
        </is>
      </c>
      <c r="C12" t="inlineStr" s="3">
        <is>
          <t>VARCHAR(64)</t>
        </is>
      </c>
      <c r="D12" t="inlineStr" s="3">
        <is>
          <t>YES</t>
        </is>
      </c>
      <c r="E12" t="inlineStr" s="3">
        <is>
          <t>NULL</t>
        </is>
      </c>
      <c r="F12" t="inlineStr" s="6">
        <is>
          <t>UNIQUE</t>
        </is>
      </c>
      <c r="G12" t="inlineStr" s="3">
        <is>
          <t/>
        </is>
      </c>
      <c r="H12" t="inlineStr" s="3">
        <is>
          <t>kyc_repo</t>
        </is>
      </c>
      <c r="I12" t="inlineStr" s="3">
        <is>
          <t>Submission identity hash for uniqueness and audit</t>
        </is>
      </c>
    </row>
    <row r="13">
      <c r="A13" t="inlineStr" s="3">
        <is>
          <t>ocr_birth_date</t>
        </is>
      </c>
      <c r="B13" t="inlineStr" s="3">
        <is>
          <t>OCR 出生日期</t>
        </is>
      </c>
      <c r="C13" t="inlineStr" s="3">
        <is>
          <t>VARCHAR(30)</t>
        </is>
      </c>
      <c r="D13" t="inlineStr" s="3">
        <is>
          <t>YES</t>
        </is>
      </c>
      <c r="E13" t="inlineStr" s="3">
        <is>
          <t>NULL</t>
        </is>
      </c>
      <c r="F13" t="inlineStr" s="3">
        <is>
          <t/>
        </is>
      </c>
      <c r="G13" t="inlineStr" s="3">
        <is>
          <t/>
        </is>
      </c>
      <c r="H13" t="inlineStr" s="3">
        <is>
          <t>kyc_repo</t>
        </is>
      </c>
      <c r="I13" t="inlineStr" s="3">
        <is>
          <t>OCR extracted birth date</t>
        </is>
      </c>
    </row>
    <row r="14">
      <c r="A14" t="inlineStr" s="3">
        <is>
          <t>ocr_issue_date</t>
        </is>
      </c>
      <c r="B14" t="inlineStr" s="3">
        <is>
          <t>OCR 發證日期</t>
        </is>
      </c>
      <c r="C14" t="inlineStr" s="3">
        <is>
          <t>VARCHAR(30)</t>
        </is>
      </c>
      <c r="D14" t="inlineStr" s="3">
        <is>
          <t>YES</t>
        </is>
      </c>
      <c r="E14" t="inlineStr" s="3">
        <is>
          <t>NULL</t>
        </is>
      </c>
      <c r="F14" t="inlineStr" s="3">
        <is>
          <t/>
        </is>
      </c>
      <c r="G14" t="inlineStr" s="3">
        <is>
          <t/>
        </is>
      </c>
      <c r="H14" t="inlineStr" s="3">
        <is>
          <t>kyc_repo</t>
        </is>
      </c>
      <c r="I14" t="inlineStr" s="3">
        <is>
          <t>OCR extracted issue date</t>
        </is>
      </c>
    </row>
    <row r="15">
      <c r="A15" t="inlineStr" s="3">
        <is>
          <t>ocr_issue_location</t>
        </is>
      </c>
      <c r="B15" t="inlineStr" s="3">
        <is>
          <t>OCR 發證地點</t>
        </is>
      </c>
      <c r="C15" t="inlineStr" s="3">
        <is>
          <t>VARCHAR(100)</t>
        </is>
      </c>
      <c r="D15" t="inlineStr" s="3">
        <is>
          <t>YES</t>
        </is>
      </c>
      <c r="E15" t="inlineStr" s="3">
        <is>
          <t>NULL</t>
        </is>
      </c>
      <c r="F15" t="inlineStr" s="3">
        <is>
          <t/>
        </is>
      </c>
      <c r="G15" t="inlineStr" s="3">
        <is>
          <t/>
        </is>
      </c>
      <c r="H15" t="inlineStr" s="3">
        <is>
          <t>kyc_repo</t>
        </is>
      </c>
      <c r="I15" t="inlineStr" s="3">
        <is>
          <t>OCR extracted issue location</t>
        </is>
      </c>
    </row>
    <row r="16">
      <c r="A16" t="inlineStr" s="3">
        <is>
          <t>ocr_address</t>
        </is>
      </c>
      <c r="B16" t="inlineStr" s="3">
        <is>
          <t>OCR 地址</t>
        </is>
      </c>
      <c r="C16" t="inlineStr" s="3">
        <is>
          <t>VARCHAR(255)</t>
        </is>
      </c>
      <c r="D16" t="inlineStr" s="3">
        <is>
          <t>YES</t>
        </is>
      </c>
      <c r="E16" t="inlineStr" s="3">
        <is>
          <t>NULL</t>
        </is>
      </c>
      <c r="F16" t="inlineStr" s="3">
        <is>
          <t/>
        </is>
      </c>
      <c r="G16" t="inlineStr" s="3">
        <is>
          <t/>
        </is>
      </c>
      <c r="H16" t="inlineStr" s="3">
        <is>
          <t>kyc_repo</t>
        </is>
      </c>
      <c r="I16" t="inlineStr" s="3">
        <is>
          <t>OCR extracted address</t>
        </is>
      </c>
    </row>
    <row r="17">
      <c r="A17" t="inlineStr" s="3">
        <is>
          <t>ocr_father_name</t>
        </is>
      </c>
      <c r="B17" t="inlineStr" s="3">
        <is>
          <t>OCR 父親姓名</t>
        </is>
      </c>
      <c r="C17" t="inlineStr" s="3">
        <is>
          <t>VARCHAR(100)</t>
        </is>
      </c>
      <c r="D17" t="inlineStr" s="3">
        <is>
          <t>YES</t>
        </is>
      </c>
      <c r="E17" t="inlineStr" s="3">
        <is>
          <t>NULL</t>
        </is>
      </c>
      <c r="F17" t="inlineStr" s="3">
        <is>
          <t/>
        </is>
      </c>
      <c r="G17" t="inlineStr" s="3">
        <is>
          <t/>
        </is>
      </c>
      <c r="H17" t="inlineStr" s="3">
        <is>
          <t>kyc_repo</t>
        </is>
      </c>
      <c r="I17" t="inlineStr" s="3">
        <is>
          <t>OCR extracted father name</t>
        </is>
      </c>
    </row>
    <row r="18">
      <c r="A18" t="inlineStr" s="3">
        <is>
          <t>ocr_mother_name</t>
        </is>
      </c>
      <c r="B18" t="inlineStr" s="3">
        <is>
          <t>OCR 母親姓名</t>
        </is>
      </c>
      <c r="C18" t="inlineStr" s="3">
        <is>
          <t>VARCHAR(100)</t>
        </is>
      </c>
      <c r="D18" t="inlineStr" s="3">
        <is>
          <t>YES</t>
        </is>
      </c>
      <c r="E18" t="inlineStr" s="3">
        <is>
          <t>NULL</t>
        </is>
      </c>
      <c r="F18" t="inlineStr" s="3">
        <is>
          <t/>
        </is>
      </c>
      <c r="G18" t="inlineStr" s="3">
        <is>
          <t/>
        </is>
      </c>
      <c r="H18" t="inlineStr" s="3">
        <is>
          <t>kyc_repo</t>
        </is>
      </c>
      <c r="I18" t="inlineStr" s="3">
        <is>
          <t>OCR extracted mother name</t>
        </is>
      </c>
    </row>
    <row r="19">
      <c r="A19" t="inlineStr" s="3">
        <is>
          <t>ocr_spouse_name</t>
        </is>
      </c>
      <c r="B19" t="inlineStr" s="3">
        <is>
          <t>OCR 配偶姓名</t>
        </is>
      </c>
      <c r="C19" t="inlineStr" s="3">
        <is>
          <t>VARCHAR(100)</t>
        </is>
      </c>
      <c r="D19" t="inlineStr" s="3">
        <is>
          <t>YES</t>
        </is>
      </c>
      <c r="E19" t="inlineStr" s="3">
        <is>
          <t>NULL</t>
        </is>
      </c>
      <c r="F19" t="inlineStr" s="3">
        <is>
          <t/>
        </is>
      </c>
      <c r="G19" t="inlineStr" s="3">
        <is>
          <t/>
        </is>
      </c>
      <c r="H19" t="inlineStr" s="3">
        <is>
          <t>kyc_repo</t>
        </is>
      </c>
      <c r="I19" t="inlineStr" s="3">
        <is>
          <t>OCR extracted spouse name</t>
        </is>
      </c>
    </row>
    <row r="20">
      <c r="A20" t="inlineStr" s="3">
        <is>
          <t>face_match_score</t>
        </is>
      </c>
      <c r="B20" t="inlineStr" s="3">
        <is>
          <t>人臉比對分數</t>
        </is>
      </c>
      <c r="C20" t="inlineStr" s="3">
        <is>
          <t>NUMERIC(5;2)</t>
        </is>
      </c>
      <c r="D20" t="inlineStr" s="3">
        <is>
          <t>YES</t>
        </is>
      </c>
      <c r="E20" t="inlineStr" s="3">
        <is>
          <t>NULL</t>
        </is>
      </c>
      <c r="F20" t="inlineStr" s="3">
        <is>
          <t/>
        </is>
      </c>
      <c r="G20" t="inlineStr" s="3">
        <is>
          <t/>
        </is>
      </c>
      <c r="H20" t="inlineStr" s="3">
        <is>
          <t>kyc_repo</t>
        </is>
      </c>
      <c r="I20" t="inlineStr" s="3">
        <is>
          <t>Face comparison score from Rekognition</t>
        </is>
      </c>
    </row>
    <row r="21">
      <c r="A21" t="inlineStr" s="3">
        <is>
          <t>ocr_success</t>
        </is>
      </c>
      <c r="B21" t="inlineStr" s="3">
        <is>
          <t>OCR 是否成功</t>
        </is>
      </c>
      <c r="C21" t="inlineStr" s="3">
        <is>
          <t>BOOLEAN</t>
        </is>
      </c>
      <c r="D21" t="inlineStr" s="3">
        <is>
          <t>NO</t>
        </is>
      </c>
      <c r="E21" t="inlineStr" s="3">
        <is>
          <t>FALSE</t>
        </is>
      </c>
      <c r="F21" t="inlineStr" s="3">
        <is>
          <t/>
        </is>
      </c>
      <c r="G21" t="inlineStr" s="3">
        <is>
          <t/>
        </is>
      </c>
      <c r="H21" t="inlineStr" s="3">
        <is>
          <t>kyc_repo</t>
        </is>
      </c>
      <c r="I21" t="inlineStr" s="3">
        <is>
          <t>Whether OCR extraction was considered successful</t>
        </is>
      </c>
    </row>
    <row r="22">
      <c r="A22" t="inlineStr" s="3">
        <is>
          <t>review_status</t>
        </is>
      </c>
      <c r="B22" t="inlineStr" s="3">
        <is>
          <t>審核狀態</t>
        </is>
      </c>
      <c r="C22" t="inlineStr" s="3">
        <is>
          <t>VARCHAR(20)</t>
        </is>
      </c>
      <c r="D22" t="inlineStr" s="3">
        <is>
          <t>NO</t>
        </is>
      </c>
      <c r="E22" t="inlineStr" s="3">
        <is>
          <t>PENDING</t>
        </is>
      </c>
      <c r="F22" t="inlineStr" s="7">
        <is>
          <t>INDEX</t>
        </is>
      </c>
      <c r="G22" t="inlineStr" s="3">
        <is>
          <t/>
        </is>
      </c>
      <c r="H22" t="inlineStr" s="3">
        <is>
          <t>kyc_repo+admin</t>
        </is>
      </c>
      <c r="I22" t="inlineStr" s="3">
        <is>
          <t>Combined pipeline/review status field</t>
        </is>
      </c>
    </row>
    <row r="23">
      <c r="A23" t="inlineStr" s="3">
        <is>
          <t>reviewer_note</t>
        </is>
      </c>
      <c r="B23" t="inlineStr" s="3">
        <is>
          <t>審核備註</t>
        </is>
      </c>
      <c r="C23" t="inlineStr" s="3">
        <is>
          <t>TEXT</t>
        </is>
      </c>
      <c r="D23" t="inlineStr" s="3">
        <is>
          <t>NO</t>
        </is>
      </c>
      <c r="E23" t="inlineStr" s="3">
        <is>
          <t>'' </t>
        </is>
      </c>
      <c r="F23" t="inlineStr" s="3">
        <is>
          <t/>
        </is>
      </c>
      <c r="G23" t="inlineStr" s="3">
        <is>
          <t>kyc_repo+admin</t>
        </is>
      </c>
      <c r="H23" t="inlineStr" s="3">
        <is>
          <t>Admin or system note for the review</t>
        </is>
      </c>
      <c r="I23" t="inlineStr" s="3">
        <is>
          <t/>
        </is>
      </c>
    </row>
    <row r="24">
      <c r="A24" t="inlineStr" s="3">
        <is>
          <t>reviewed_by_wallet</t>
        </is>
      </c>
      <c r="B24" t="inlineStr" s="3">
        <is>
          <t>審核者錢包</t>
        </is>
      </c>
      <c r="C24" t="inlineStr" s="3">
        <is>
          <t>VARCHAR(255)</t>
        </is>
      </c>
      <c r="D24" t="inlineStr" s="3">
        <is>
          <t>YES</t>
        </is>
      </c>
      <c r="E24" t="inlineStr" s="3">
        <is>
          <t>NULL</t>
        </is>
      </c>
      <c r="F24" t="inlineStr" s="3">
        <is>
          <t/>
        </is>
      </c>
      <c r="G24" t="inlineStr" s="3">
        <is>
          <t/>
        </is>
      </c>
      <c r="H24" t="inlineStr" s="3">
        <is>
          <t>kyc_repo+admin</t>
        </is>
      </c>
      <c r="I24" t="inlineStr" s="3">
        <is>
          <t>Admin wallet that reviewed the submission</t>
        </is>
      </c>
    </row>
    <row r="25">
      <c r="A25" t="inlineStr" s="3">
        <is>
          <t>submitted_at</t>
        </is>
      </c>
      <c r="B25" t="inlineStr" s="3">
        <is>
          <t>送出時間</t>
        </is>
      </c>
      <c r="C25" t="inlineStr" s="3">
        <is>
          <t>TIMESTAMPTZ</t>
        </is>
      </c>
      <c r="D25" t="inlineStr" s="3">
        <is>
          <t>NO</t>
        </is>
      </c>
      <c r="E25" t="inlineStr" s="3">
        <is>
          <t>NOW()</t>
        </is>
      </c>
      <c r="F25" t="inlineStr" s="3">
        <is>
          <t/>
        </is>
      </c>
      <c r="G25" t="inlineStr" s="3">
        <is>
          <t/>
        </is>
      </c>
      <c r="H25" t="inlineStr" s="3">
        <is>
          <t>kyc_repo</t>
        </is>
      </c>
      <c r="I25" t="inlineStr" s="3">
        <is>
          <t>Submission creation time</t>
        </is>
      </c>
    </row>
    <row r="26">
      <c r="A26" t="inlineStr" s="3">
        <is>
          <t>reviewed_at</t>
        </is>
      </c>
      <c r="B26" t="inlineStr" s="3">
        <is>
          <t>審核時間</t>
        </is>
      </c>
      <c r="C26" t="inlineStr" s="3">
        <is>
          <t>TIMESTAMPTZ</t>
        </is>
      </c>
      <c r="D26" t="inlineStr" s="3">
        <is>
          <t>YES</t>
        </is>
      </c>
      <c r="E26" t="inlineStr" s="3">
        <is>
          <t>NULL</t>
        </is>
      </c>
      <c r="F26" t="inlineStr" s="3">
        <is>
          <t/>
        </is>
      </c>
      <c r="G26" t="inlineStr" s="3">
        <is>
          <t/>
        </is>
      </c>
      <c r="H26" t="inlineStr" s="3">
        <is>
          <t>kyc_repo+admin</t>
        </is>
      </c>
      <c r="I26" t="inlineStr" s="3">
        <is>
          <t>Time of latest review decision</t>
        </is>
      </c>
    </row>
  </sheetData>
  <autoFilter ref="A4:I26"/>
  <mergeCells count="2">
    <mergeCell ref="A1:I1"/>
    <mergeCell ref="A2:I2"/>
  </mergeCells>
</worksheet>
</file>

<file path=xl/worksheets/sheet12.xml><?xml version="1.0" encoding="utf-8"?>
<worksheet xmlns="http://schemas.openxmlformats.org/spreadsheetml/2006/main">
  <dimension ref="A1:I24"/>
  <sheetViews>
    <sheetView workbookViewId="0">
      <pane ySplit="3" topLeftCell="A4" activePane="bottomLeft" state="frozen"/>
      <selection pane="bottomLeft" activeCell="A1" sqref="A1"/>
    </sheetView>
  </sheetViews>
  <sheetFormatPr defaultRowHeight="15"/>
  <cols>
    <col min="1" max="1" width="22" customWidth="1"/>
    <col min="2" max="2" width="20" customWidth="1"/>
    <col min="3" max="3" width="16" customWidth="1"/>
    <col min="4" max="4" width="10" customWidth="1"/>
    <col min="5" max="5" width="14" customWidth="1"/>
    <col min="6" max="6" width="14" customWidth="1"/>
    <col min="7" max="7" width="22" customWidth="1"/>
    <col min="8" max="8" width="22" customWidth="1"/>
    <col min="9" max="9" width="58" customWidth="1"/>
  </cols>
  <sheetData>
    <row r="1">
      <c r="A1" t="inlineStr" s="2">
        <is>
          <t>kyc_sessions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  <c r="F1" t="inlineStr" s="0">
        <is>
          <t/>
        </is>
      </c>
      <c r="G1" t="inlineStr" s="0">
        <is>
          <t/>
        </is>
      </c>
      <c r="H1" t="inlineStr" s="0">
        <is>
          <t/>
        </is>
      </c>
      <c r="I1" t="inlineStr" s="0">
        <is>
          <t/>
        </is>
      </c>
    </row>
    <row r="2">
      <c r="A2" s="8">
        <f>HYPERLINK("#'Tables'!A1","Back to Tables")</f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  <c r="F2" t="inlineStr" s="0">
        <is>
          <t/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</row>
    <row r="3">
      <c r="A3" t="inlineStr" s="1">
        <is>
          <t>中文表名</t>
        </is>
      </c>
      <c r="B3" t="inlineStr" s="3">
        <is>
          <t>Onboarding 暫存流程</t>
        </is>
      </c>
      <c r="C3" t="inlineStr" s="1">
        <is>
          <t>Domain</t>
        </is>
      </c>
      <c r="D3" t="inlineStr" s="3">
        <is>
          <t>Identity / KYC</t>
        </is>
      </c>
      <c r="E3" t="inlineStr" s="1">
        <is>
          <t>Summary</t>
        </is>
      </c>
      <c r="F3" t="inlineStr" s="3">
        <is>
          <t>KYC-first onboarding 暫存流程。</t>
        </is>
      </c>
      <c r="G3" t="inlineStr" s="3">
        <is>
          <t/>
        </is>
      </c>
      <c r="H3" t="inlineStr" s="3">
        <is>
          <t/>
        </is>
      </c>
      <c r="I3" t="inlineStr" s="3">
        <is>
          <t/>
        </is>
      </c>
    </row>
    <row r="4">
      <c r="A4" t="inlineStr" s="1">
        <is>
          <t>column_name</t>
        </is>
      </c>
      <c r="B4" t="inlineStr" s="1">
        <is>
          <t>column_name_zh</t>
        </is>
      </c>
      <c r="C4" t="inlineStr" s="1">
        <is>
          <t>data_type</t>
        </is>
      </c>
      <c r="D4" t="inlineStr" s="1">
        <is>
          <t>nullable</t>
        </is>
      </c>
      <c r="E4" t="inlineStr" s="1">
        <is>
          <t>default</t>
        </is>
      </c>
      <c r="F4" t="inlineStr" s="1">
        <is>
          <t>key_type</t>
        </is>
      </c>
      <c r="G4" t="inlineStr" s="1">
        <is>
          <t>references</t>
        </is>
      </c>
      <c r="H4" t="inlineStr" s="1">
        <is>
          <t>used_by</t>
        </is>
      </c>
      <c r="I4" t="inlineStr" s="1">
        <is>
          <t>definition</t>
        </is>
      </c>
    </row>
    <row r="5">
      <c r="A5" t="inlineStr" s="3">
        <is>
          <t>id</t>
        </is>
      </c>
      <c r="B5" t="inlineStr" s="3">
        <is>
          <t>主鍵 ID</t>
        </is>
      </c>
      <c r="C5" t="inlineStr" s="3">
        <is>
          <t>UUID</t>
        </is>
      </c>
      <c r="D5" t="inlineStr" s="3">
        <is>
          <t>NO</t>
        </is>
      </c>
      <c r="E5" t="inlineStr" s="3">
        <is>
          <t>gen_random_uuid()</t>
        </is>
      </c>
      <c r="F5" t="inlineStr" s="4">
        <is>
          <t>PK</t>
        </is>
      </c>
      <c r="G5" t="inlineStr" s="3">
        <is>
          <t/>
        </is>
      </c>
      <c r="H5" t="inlineStr" s="3">
        <is>
          <t>onboarding</t>
        </is>
      </c>
      <c r="I5" t="inlineStr" s="3">
        <is>
          <t>Onboarding session id</t>
        </is>
      </c>
    </row>
    <row r="6">
      <c r="A6" t="inlineStr" s="3">
        <is>
          <t>email</t>
        </is>
      </c>
      <c r="B6" t="inlineStr" s="3">
        <is>
          <t>電子郵件</t>
        </is>
      </c>
      <c r="C6" t="inlineStr" s="3">
        <is>
          <t>VARCHAR(255)</t>
        </is>
      </c>
      <c r="D6" t="inlineStr" s="3">
        <is>
          <t>YES</t>
        </is>
      </c>
      <c r="E6" t="inlineStr" s="3">
        <is>
          <t>NULL</t>
        </is>
      </c>
      <c r="F6" t="inlineStr" s="7">
        <is>
          <t>INDEX</t>
        </is>
      </c>
      <c r="G6" t="inlineStr" s="3">
        <is>
          <t/>
        </is>
      </c>
      <c r="H6" t="inlineStr" s="3">
        <is>
          <t>onboarding</t>
        </is>
      </c>
      <c r="I6" t="inlineStr" s="3">
        <is>
          <t>Email captured for this onboarding session</t>
        </is>
      </c>
    </row>
    <row r="7">
      <c r="A7" t="inlineStr" s="3">
        <is>
          <t>phone</t>
        </is>
      </c>
      <c r="B7" t="inlineStr" s="3">
        <is>
          <t>手機號碼</t>
        </is>
      </c>
      <c r="C7" t="inlineStr" s="3">
        <is>
          <t>VARCHAR(20)</t>
        </is>
      </c>
      <c r="D7" t="inlineStr" s="3">
        <is>
          <t>YES</t>
        </is>
      </c>
      <c r="E7" t="inlineStr" s="3">
        <is>
          <t>NULL</t>
        </is>
      </c>
      <c r="F7" t="inlineStr" s="3">
        <is>
          <t/>
        </is>
      </c>
      <c r="G7" t="inlineStr" s="3">
        <is>
          <t/>
        </is>
      </c>
      <c r="H7" t="inlineStr" s="3">
        <is>
          <t>onboarding</t>
        </is>
      </c>
      <c r="I7" t="inlineStr" s="3">
        <is>
          <t>Phone captured for this onboarding session</t>
        </is>
      </c>
    </row>
    <row r="8">
      <c r="A8" t="inlineStr" s="3">
        <is>
          <t>email_verified</t>
        </is>
      </c>
      <c r="B8" t="inlineStr" s="3">
        <is>
          <t>Email 已驗證</t>
        </is>
      </c>
      <c r="C8" t="inlineStr" s="3">
        <is>
          <t>BOOLEAN</t>
        </is>
      </c>
      <c r="D8" t="inlineStr" s="3">
        <is>
          <t>NO</t>
        </is>
      </c>
      <c r="E8" t="inlineStr" s="3">
        <is>
          <t>FALSE</t>
        </is>
      </c>
      <c r="F8" t="inlineStr" s="3">
        <is>
          <t/>
        </is>
      </c>
      <c r="G8" t="inlineStr" s="3">
        <is>
          <t/>
        </is>
      </c>
      <c r="H8" t="inlineStr" s="3">
        <is>
          <t>onboarding</t>
        </is>
      </c>
      <c r="I8" t="inlineStr" s="3">
        <is>
          <t>Whether email OTP was verified</t>
        </is>
      </c>
    </row>
    <row r="9">
      <c r="A9" t="inlineStr" s="3">
        <is>
          <t>phone_verified</t>
        </is>
      </c>
      <c r="B9" t="inlineStr" s="3">
        <is>
          <t>手機已驗證</t>
        </is>
      </c>
      <c r="C9" t="inlineStr" s="3">
        <is>
          <t>BOOLEAN</t>
        </is>
      </c>
      <c r="D9" t="inlineStr" s="3">
        <is>
          <t>NO</t>
        </is>
      </c>
      <c r="E9" t="inlineStr" s="3">
        <is>
          <t>FALSE</t>
        </is>
      </c>
      <c r="F9" t="inlineStr" s="3">
        <is>
          <t/>
        </is>
      </c>
      <c r="G9" t="inlineStr" s="3">
        <is>
          <t/>
        </is>
      </c>
      <c r="H9" t="inlineStr" s="3">
        <is>
          <t>onboarding</t>
        </is>
      </c>
      <c r="I9" t="inlineStr" s="3">
        <is>
          <t>Whether SMS OTP was verified</t>
        </is>
      </c>
    </row>
    <row r="10">
      <c r="A10" t="inlineStr" s="3">
        <is>
          <t>person_hash</t>
        </is>
      </c>
      <c r="B10" t="inlineStr" s="3">
        <is>
          <t>個人唯一雜湊</t>
        </is>
      </c>
      <c r="C10" t="inlineStr" s="3">
        <is>
          <t>VARCHAR(64)</t>
        </is>
      </c>
      <c r="D10" t="inlineStr" s="3">
        <is>
          <t>YES</t>
        </is>
      </c>
      <c r="E10" t="inlineStr" s="3">
        <is>
          <t>NULL</t>
        </is>
      </c>
      <c r="F10" t="inlineStr" s="7">
        <is>
          <t>INDEX</t>
        </is>
      </c>
      <c r="G10" t="inlineStr" s="3">
        <is>
          <t/>
        </is>
      </c>
      <c r="H10" t="inlineStr" s="3">
        <is>
          <t>onboarding</t>
        </is>
      </c>
      <c r="I10" t="inlineStr" s="3">
        <is>
          <t>Person uniqueness hash before wallet bind</t>
        </is>
      </c>
    </row>
    <row r="11">
      <c r="A11" t="inlineStr" s="3">
        <is>
          <t>confirmed_name</t>
        </is>
      </c>
      <c r="B11" t="inlineStr" s="3">
        <is>
          <t>確認姓名</t>
        </is>
      </c>
      <c r="C11" t="inlineStr" s="3">
        <is>
          <t>VARCHAR(100)</t>
        </is>
      </c>
      <c r="D11" t="inlineStr" s="3">
        <is>
          <t>YES</t>
        </is>
      </c>
      <c r="E11" t="inlineStr" s="3">
        <is>
          <t>NULL</t>
        </is>
      </c>
      <c r="F11" t="inlineStr" s="3">
        <is>
          <t/>
        </is>
      </c>
      <c r="G11" t="inlineStr" s="3">
        <is>
          <t/>
        </is>
      </c>
      <c r="H11" t="inlineStr" s="3">
        <is>
          <t>onboarding</t>
        </is>
      </c>
      <c r="I11" t="inlineStr" s="3">
        <is>
          <t>User-confirmed name used for account creation</t>
        </is>
      </c>
    </row>
    <row r="12">
      <c r="A12" t="inlineStr" s="3">
        <is>
          <t>confirmed_birth_date</t>
        </is>
      </c>
      <c r="B12" t="inlineStr" s="3">
        <is>
          <t>確認生日</t>
        </is>
      </c>
      <c r="C12" t="inlineStr" s="3">
        <is>
          <t>VARCHAR(20)</t>
        </is>
      </c>
      <c r="D12" t="inlineStr" s="3">
        <is>
          <t>YES</t>
        </is>
      </c>
      <c r="E12" t="inlineStr" s="3">
        <is>
          <t>NULL</t>
        </is>
      </c>
      <c r="F12" t="inlineStr" s="3">
        <is>
          <t/>
        </is>
      </c>
      <c r="G12" t="inlineStr" s="3">
        <is>
          <t/>
        </is>
      </c>
      <c r="H12" t="inlineStr" s="3">
        <is>
          <t>onboarding</t>
        </is>
      </c>
      <c r="I12" t="inlineStr" s="3">
        <is>
          <t>User-confirmed birth date</t>
        </is>
      </c>
    </row>
    <row r="13">
      <c r="A13" t="inlineStr" s="3">
        <is>
          <t>ocr_address</t>
        </is>
      </c>
      <c r="B13" t="inlineStr" s="3">
        <is>
          <t>OCR 地址</t>
        </is>
      </c>
      <c r="C13" t="inlineStr" s="3">
        <is>
          <t>VARCHAR(255)</t>
        </is>
      </c>
      <c r="D13" t="inlineStr" s="3">
        <is>
          <t>YES</t>
        </is>
      </c>
      <c r="E13" t="inlineStr" s="3">
        <is>
          <t>NULL</t>
        </is>
      </c>
      <c r="F13" t="inlineStr" s="3">
        <is>
          <t/>
        </is>
      </c>
      <c r="G13" t="inlineStr" s="3">
        <is>
          <t/>
        </is>
      </c>
      <c r="H13" t="inlineStr" s="3">
        <is>
          <t>onboarding</t>
        </is>
      </c>
      <c r="I13" t="inlineStr" s="3">
        <is>
          <t>OCR extracted address held in session</t>
        </is>
      </c>
    </row>
    <row r="14">
      <c r="A14" t="inlineStr" s="3">
        <is>
          <t>ocr_id_number_hint</t>
        </is>
      </c>
      <c r="B14" t="inlineStr" s="3">
        <is>
          <t>證號提示</t>
        </is>
      </c>
      <c r="C14" t="inlineStr" s="3">
        <is>
          <t>VARCHAR(10)</t>
        </is>
      </c>
      <c r="D14" t="inlineStr" s="3">
        <is>
          <t>YES</t>
        </is>
      </c>
      <c r="E14" t="inlineStr" s="3">
        <is>
          <t>NULL</t>
        </is>
      </c>
      <c r="F14" t="inlineStr" s="3">
        <is>
          <t/>
        </is>
      </c>
      <c r="G14" t="inlineStr" s="3">
        <is>
          <t/>
        </is>
      </c>
      <c r="H14" t="inlineStr" s="3">
        <is>
          <t>onboarding</t>
        </is>
      </c>
      <c r="I14" t="inlineStr" s="3">
        <is>
          <t>Masked ID hint for UX only</t>
        </is>
      </c>
    </row>
    <row r="15">
      <c r="A15" t="inlineStr" s="3">
        <is>
          <t>id_front_path</t>
        </is>
      </c>
      <c r="B15" t="inlineStr" s="3">
        <is>
          <t>證件正面路徑</t>
        </is>
      </c>
      <c r="C15" t="inlineStr" s="3">
        <is>
          <t>VARCHAR(512)</t>
        </is>
      </c>
      <c r="D15" t="inlineStr" s="3">
        <is>
          <t>YES</t>
        </is>
      </c>
      <c r="E15" t="inlineStr" s="3">
        <is>
          <t>NULL</t>
        </is>
      </c>
      <c r="F15" t="inlineStr" s="3">
        <is>
          <t/>
        </is>
      </c>
      <c r="G15" t="inlineStr" s="3">
        <is>
          <t/>
        </is>
      </c>
      <c r="H15" t="inlineStr" s="3">
        <is>
          <t>onboarding</t>
        </is>
      </c>
      <c r="I15" t="inlineStr" s="3">
        <is>
          <t>MinIO path for front-side ID image</t>
        </is>
      </c>
    </row>
    <row r="16">
      <c r="A16" t="inlineStr" s="3">
        <is>
          <t>id_back_path</t>
        </is>
      </c>
      <c r="B16" t="inlineStr" s="3">
        <is>
          <t>證件反面路徑</t>
        </is>
      </c>
      <c r="C16" t="inlineStr" s="3">
        <is>
          <t>VARCHAR(512)</t>
        </is>
      </c>
      <c r="D16" t="inlineStr" s="3">
        <is>
          <t>YES</t>
        </is>
      </c>
      <c r="E16" t="inlineStr" s="3">
        <is>
          <t>NULL</t>
        </is>
      </c>
      <c r="F16" t="inlineStr" s="3">
        <is>
          <t/>
        </is>
      </c>
      <c r="G16" t="inlineStr" s="3">
        <is>
          <t/>
        </is>
      </c>
      <c r="H16" t="inlineStr" s="3">
        <is>
          <t>onboarding</t>
        </is>
      </c>
      <c r="I16" t="inlineStr" s="3">
        <is>
          <t>MinIO path for back-side ID image</t>
        </is>
      </c>
    </row>
    <row r="17">
      <c r="A17" t="inlineStr" s="3">
        <is>
          <t>selfie_path</t>
        </is>
      </c>
      <c r="B17" t="inlineStr" s="3">
        <is>
          <t>自拍路徑</t>
        </is>
      </c>
      <c r="C17" t="inlineStr" s="3">
        <is>
          <t>VARCHAR(512)</t>
        </is>
      </c>
      <c r="D17" t="inlineStr" s="3">
        <is>
          <t>YES</t>
        </is>
      </c>
      <c r="E17" t="inlineStr" s="3">
        <is>
          <t>NULL</t>
        </is>
      </c>
      <c r="F17" t="inlineStr" s="3">
        <is>
          <t/>
        </is>
      </c>
      <c r="G17" t="inlineStr" s="3">
        <is>
          <t/>
        </is>
      </c>
      <c r="H17" t="inlineStr" s="3">
        <is>
          <t>onboarding</t>
        </is>
      </c>
      <c r="I17" t="inlineStr" s="3">
        <is>
          <t>MinIO path for selfie image</t>
        </is>
      </c>
    </row>
    <row r="18">
      <c r="A18" t="inlineStr" s="3">
        <is>
          <t>second_doc_path</t>
        </is>
      </c>
      <c r="B18" t="inlineStr" s="3">
        <is>
          <t>第二證件路徑</t>
        </is>
      </c>
      <c r="C18" t="inlineStr" s="3">
        <is>
          <t>VARCHAR(512)</t>
        </is>
      </c>
      <c r="D18" t="inlineStr" s="3">
        <is>
          <t>YES</t>
        </is>
      </c>
      <c r="E18" t="inlineStr" s="3">
        <is>
          <t>NULL</t>
        </is>
      </c>
      <c r="F18" t="inlineStr" s="3">
        <is>
          <t/>
        </is>
      </c>
      <c r="G18" t="inlineStr" s="3">
        <is>
          <t/>
        </is>
      </c>
      <c r="H18" t="inlineStr" s="3">
        <is>
          <t>onboarding</t>
        </is>
      </c>
      <c r="I18" t="inlineStr" s="3">
        <is>
          <t>MinIO path for second supporting document</t>
        </is>
      </c>
    </row>
    <row r="19">
      <c r="A19" t="inlineStr" s="3">
        <is>
          <t>face_match_score</t>
        </is>
      </c>
      <c r="B19" t="inlineStr" s="3">
        <is>
          <t>人臉比對分數</t>
        </is>
      </c>
      <c r="C19" t="inlineStr" s="3">
        <is>
          <t>NUMERIC(5;2)</t>
        </is>
      </c>
      <c r="D19" t="inlineStr" s="3">
        <is>
          <t>YES</t>
        </is>
      </c>
      <c r="E19" t="inlineStr" s="3">
        <is>
          <t>NULL</t>
        </is>
      </c>
      <c r="F19" t="inlineStr" s="3">
        <is>
          <t/>
        </is>
      </c>
      <c r="G19" t="inlineStr" s="3">
        <is>
          <t/>
        </is>
      </c>
      <c r="H19" t="inlineStr" s="3">
        <is>
          <t>onboarding</t>
        </is>
      </c>
      <c r="I19" t="inlineStr" s="3">
        <is>
          <t>Face comparison score during onboarding</t>
        </is>
      </c>
    </row>
    <row r="20">
      <c r="A20" t="inlineStr" s="3">
        <is>
          <t>ocr_success</t>
        </is>
      </c>
      <c r="B20" t="inlineStr" s="3">
        <is>
          <t>OCR 是否成功</t>
        </is>
      </c>
      <c r="C20" t="inlineStr" s="3">
        <is>
          <t>BOOLEAN</t>
        </is>
      </c>
      <c r="D20" t="inlineStr" s="3">
        <is>
          <t>NO</t>
        </is>
      </c>
      <c r="E20" t="inlineStr" s="3">
        <is>
          <t>FALSE</t>
        </is>
      </c>
      <c r="F20" t="inlineStr" s="3">
        <is>
          <t/>
        </is>
      </c>
      <c r="G20" t="inlineStr" s="3">
        <is>
          <t/>
        </is>
      </c>
      <c r="H20" t="inlineStr" s="3">
        <is>
          <t>onboarding</t>
        </is>
      </c>
      <c r="I20" t="inlineStr" s="3">
        <is>
          <t>Whether OCR extraction succeeded</t>
        </is>
      </c>
    </row>
    <row r="21">
      <c r="A21" t="inlineStr" s="3">
        <is>
          <t>step</t>
        </is>
      </c>
      <c r="B21" t="inlineStr" s="3">
        <is>
          <t>流程步驟</t>
        </is>
      </c>
      <c r="C21" t="inlineStr" s="3">
        <is>
          <t>VARCHAR(30)</t>
        </is>
      </c>
      <c r="D21" t="inlineStr" s="3">
        <is>
          <t>NO</t>
        </is>
      </c>
      <c r="E21" t="inlineStr" s="3">
        <is>
          <t>STARTED</t>
        </is>
      </c>
      <c r="F21" t="inlineStr" s="7">
        <is>
          <t>INDEX</t>
        </is>
      </c>
      <c r="G21" t="inlineStr" s="3">
        <is>
          <t/>
        </is>
      </c>
      <c r="H21" t="inlineStr" s="3">
        <is>
          <t>onboarding</t>
        </is>
      </c>
      <c r="I21" t="inlineStr" s="3">
        <is>
          <t>Current onboarding step marker</t>
        </is>
      </c>
    </row>
    <row r="22">
      <c r="A22" t="inlineStr" s="3">
        <is>
          <t>bound_user_id</t>
        </is>
      </c>
      <c r="B22" t="inlineStr" s="3">
        <is>
          <t>綁定會員 ID</t>
        </is>
      </c>
      <c r="C22" t="inlineStr" s="3">
        <is>
          <t>BIGINT</t>
        </is>
      </c>
      <c r="D22" t="inlineStr" s="3">
        <is>
          <t>YES</t>
        </is>
      </c>
      <c r="E22" t="inlineStr" s="3">
        <is>
          <t>NULL</t>
        </is>
      </c>
      <c r="F22" t="inlineStr" s="5">
        <is>
          <t>FK</t>
        </is>
      </c>
      <c r="G22" t="inlineStr" s="3">
        <is>
          <t>users(id)</t>
        </is>
      </c>
      <c r="H22" t="inlineStr" s="3">
        <is>
          <t>onboarding</t>
        </is>
      </c>
      <c r="I22" t="inlineStr" s="3">
        <is>
          <t>User row created after wallet bind</t>
        </is>
      </c>
    </row>
    <row r="23">
      <c r="A23" t="inlineStr" s="3">
        <is>
          <t>expires_at</t>
        </is>
      </c>
      <c r="B23" t="inlineStr" s="3">
        <is>
          <t>expires_at</t>
        </is>
      </c>
      <c r="C23" t="inlineStr" s="3">
        <is>
          <t>TIMESTAMPTZ</t>
        </is>
      </c>
      <c r="D23" t="inlineStr" s="3">
        <is>
          <t>NO</t>
        </is>
      </c>
      <c r="E23" t="inlineStr" s="3">
        <is>
          <t/>
        </is>
      </c>
      <c r="F23" t="inlineStr" s="7">
        <is>
          <t>INDEX</t>
        </is>
      </c>
      <c r="G23" t="inlineStr" s="3">
        <is>
          <t/>
        </is>
      </c>
      <c r="H23" t="inlineStr" s="3">
        <is>
          <t>onboarding</t>
        </is>
      </c>
      <c r="I23" t="inlineStr" s="3">
        <is>
          <t>Session expiry time</t>
        </is>
      </c>
    </row>
    <row r="24">
      <c r="A24" t="inlineStr" s="3">
        <is>
          <t>created_at</t>
        </is>
      </c>
      <c r="B24" t="inlineStr" s="3">
        <is>
          <t>建立時間</t>
        </is>
      </c>
      <c r="C24" t="inlineStr" s="3">
        <is>
          <t>TIMESTAMPTZ</t>
        </is>
      </c>
      <c r="D24" t="inlineStr" s="3">
        <is>
          <t>NO</t>
        </is>
      </c>
      <c r="E24" t="inlineStr" s="3">
        <is>
          <t>NOW()</t>
        </is>
      </c>
      <c r="F24" t="inlineStr" s="3">
        <is>
          <t/>
        </is>
      </c>
      <c r="G24" t="inlineStr" s="3">
        <is>
          <t/>
        </is>
      </c>
      <c r="H24" t="inlineStr" s="3">
        <is>
          <t>onboarding</t>
        </is>
      </c>
      <c r="I24" t="inlineStr" s="3">
        <is>
          <t>Session creation time</t>
        </is>
      </c>
    </row>
  </sheetData>
  <autoFilter ref="A4:I24"/>
  <mergeCells count="2">
    <mergeCell ref="A1:I1"/>
    <mergeCell ref="A2:I2"/>
  </mergeCells>
</worksheet>
</file>

<file path=xl/worksheets/sheet13.xml><?xml version="1.0" encoding="utf-8"?>
<worksheet xmlns="http://schemas.openxmlformats.org/spreadsheetml/2006/main">
  <dimension ref="A1:I12"/>
  <sheetViews>
    <sheetView workbookViewId="0">
      <pane ySplit="3" topLeftCell="A4" activePane="bottomLeft" state="frozen"/>
      <selection pane="bottomLeft" activeCell="A1" sqref="A1"/>
    </sheetView>
  </sheetViews>
  <sheetFormatPr defaultRowHeight="15"/>
  <cols>
    <col min="1" max="1" width="22" customWidth="1"/>
    <col min="2" max="2" width="20" customWidth="1"/>
    <col min="3" max="3" width="16" customWidth="1"/>
    <col min="4" max="4" width="10" customWidth="1"/>
    <col min="5" max="5" width="14" customWidth="1"/>
    <col min="6" max="6" width="14" customWidth="1"/>
    <col min="7" max="7" width="22" customWidth="1"/>
    <col min="8" max="8" width="22" customWidth="1"/>
    <col min="9" max="9" width="58" customWidth="1"/>
  </cols>
  <sheetData>
    <row r="1">
      <c r="A1" t="inlineStr" s="2">
        <is>
          <t>otp_codes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  <c r="F1" t="inlineStr" s="0">
        <is>
          <t/>
        </is>
      </c>
      <c r="G1" t="inlineStr" s="0">
        <is>
          <t/>
        </is>
      </c>
      <c r="H1" t="inlineStr" s="0">
        <is>
          <t/>
        </is>
      </c>
      <c r="I1" t="inlineStr" s="0">
        <is>
          <t/>
        </is>
      </c>
    </row>
    <row r="2">
      <c r="A2" s="8">
        <f>HYPERLINK("#'Tables'!A1","Back to Tables")</f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  <c r="F2" t="inlineStr" s="0">
        <is>
          <t/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</row>
    <row r="3">
      <c r="A3" t="inlineStr" s="1">
        <is>
          <t>中文表名</t>
        </is>
      </c>
      <c r="B3" t="inlineStr" s="3">
        <is>
          <t>OTP 驗證碼</t>
        </is>
      </c>
      <c r="C3" t="inlineStr" s="1">
        <is>
          <t>Domain</t>
        </is>
      </c>
      <c r="D3" t="inlineStr" s="3">
        <is>
          <t>Identity / KYC</t>
        </is>
      </c>
      <c r="E3" t="inlineStr" s="1">
        <is>
          <t>Summary</t>
        </is>
      </c>
      <c r="F3" t="inlineStr" s="3">
        <is>
          <t>Email/SMS OTP 驗證碼。</t>
        </is>
      </c>
      <c r="G3" t="inlineStr" s="3">
        <is>
          <t/>
        </is>
      </c>
      <c r="H3" t="inlineStr" s="3">
        <is>
          <t/>
        </is>
      </c>
      <c r="I3" t="inlineStr" s="3">
        <is>
          <t/>
        </is>
      </c>
    </row>
    <row r="4">
      <c r="A4" t="inlineStr" s="1">
        <is>
          <t>column_name</t>
        </is>
      </c>
      <c r="B4" t="inlineStr" s="1">
        <is>
          <t>column_name_zh</t>
        </is>
      </c>
      <c r="C4" t="inlineStr" s="1">
        <is>
          <t>data_type</t>
        </is>
      </c>
      <c r="D4" t="inlineStr" s="1">
        <is>
          <t>nullable</t>
        </is>
      </c>
      <c r="E4" t="inlineStr" s="1">
        <is>
          <t>default</t>
        </is>
      </c>
      <c r="F4" t="inlineStr" s="1">
        <is>
          <t>key_type</t>
        </is>
      </c>
      <c r="G4" t="inlineStr" s="1">
        <is>
          <t>references</t>
        </is>
      </c>
      <c r="H4" t="inlineStr" s="1">
        <is>
          <t>used_by</t>
        </is>
      </c>
      <c r="I4" t="inlineStr" s="1">
        <is>
          <t>definition</t>
        </is>
      </c>
    </row>
    <row r="5">
      <c r="A5" t="inlineStr" s="3">
        <is>
          <t>id</t>
        </is>
      </c>
      <c r="B5" t="inlineStr" s="3">
        <is>
          <t>主鍵 ID</t>
        </is>
      </c>
      <c r="C5" t="inlineStr" s="3">
        <is>
          <t>BIGSERIAL</t>
        </is>
      </c>
      <c r="D5" t="inlineStr" s="3">
        <is>
          <t>NO</t>
        </is>
      </c>
      <c r="E5" t="inlineStr" s="3">
        <is>
          <t/>
        </is>
      </c>
      <c r="F5" t="inlineStr" s="4">
        <is>
          <t>PK</t>
        </is>
      </c>
      <c r="G5" t="inlineStr" s="3">
        <is>
          <t/>
        </is>
      </c>
      <c r="H5" t="inlineStr" s="3">
        <is>
          <t>otp_repo</t>
        </is>
      </c>
      <c r="I5" t="inlineStr" s="3">
        <is>
          <t>OTP primary key</t>
        </is>
      </c>
    </row>
    <row r="6">
      <c r="A6" t="inlineStr" s="3">
        <is>
          <t>target</t>
        </is>
      </c>
      <c r="B6" t="inlineStr" s="3">
        <is>
          <t>驗證目標</t>
        </is>
      </c>
      <c r="C6" t="inlineStr" s="3">
        <is>
          <t>VARCHAR(255)</t>
        </is>
      </c>
      <c r="D6" t="inlineStr" s="3">
        <is>
          <t>NO</t>
        </is>
      </c>
      <c r="E6" t="inlineStr" s="3">
        <is>
          <t/>
        </is>
      </c>
      <c r="F6" t="inlineStr" s="7">
        <is>
          <t>INDEX</t>
        </is>
      </c>
      <c r="G6" t="inlineStr" s="3">
        <is>
          <t/>
        </is>
      </c>
      <c r="H6" t="inlineStr" s="3">
        <is>
          <t>onboarding</t>
        </is>
      </c>
      <c r="I6" t="inlineStr" s="3">
        <is>
          <t>OTP target email or phone</t>
        </is>
      </c>
    </row>
    <row r="7">
      <c r="A7" t="inlineStr" s="3">
        <is>
          <t>channel</t>
        </is>
      </c>
      <c r="B7" t="inlineStr" s="3">
        <is>
          <t>發送通道</t>
        </is>
      </c>
      <c r="C7" t="inlineStr" s="3">
        <is>
          <t>VARCHAR(10)</t>
        </is>
      </c>
      <c r="D7" t="inlineStr" s="3">
        <is>
          <t>NO</t>
        </is>
      </c>
      <c r="E7" t="inlineStr" s="3">
        <is>
          <t/>
        </is>
      </c>
      <c r="F7" t="inlineStr" s="3">
        <is>
          <t/>
        </is>
      </c>
      <c r="G7" t="inlineStr" s="3">
        <is>
          <t> </t>
        </is>
      </c>
      <c r="H7" t="inlineStr" s="3">
        <is>
          <t>onboarding</t>
        </is>
      </c>
      <c r="I7" t="inlineStr" s="3">
        <is>
          <t>Delivery channel: email|sms</t>
        </is>
      </c>
    </row>
    <row r="8">
      <c r="A8" t="inlineStr" s="3">
        <is>
          <t>code</t>
        </is>
      </c>
      <c r="B8" t="inlineStr" s="3">
        <is>
          <t>驗證碼</t>
        </is>
      </c>
      <c r="C8" t="inlineStr" s="3">
        <is>
          <t>VARCHAR(6)</t>
        </is>
      </c>
      <c r="D8" t="inlineStr" s="3">
        <is>
          <t>NO</t>
        </is>
      </c>
      <c r="E8" t="inlineStr" s="3">
        <is>
          <t/>
        </is>
      </c>
      <c r="F8" t="inlineStr" s="3">
        <is>
          <t/>
        </is>
      </c>
      <c r="G8" t="inlineStr" s="3">
        <is>
          <t> </t>
        </is>
      </c>
      <c r="H8" t="inlineStr" s="3">
        <is>
          <t>onboarding</t>
        </is>
      </c>
      <c r="I8" t="inlineStr" s="3">
        <is>
          <t>One-time passcode</t>
        </is>
      </c>
    </row>
    <row r="9">
      <c r="A9" t="inlineStr" s="3">
        <is>
          <t>session_id</t>
        </is>
      </c>
      <c r="B9" t="inlineStr" s="3">
        <is>
          <t>流程 Session ID</t>
        </is>
      </c>
      <c r="C9" t="inlineStr" s="3">
        <is>
          <t>UUID</t>
        </is>
      </c>
      <c r="D9" t="inlineStr" s="3">
        <is>
          <t>YES</t>
        </is>
      </c>
      <c r="E9" t="inlineStr" s="3">
        <is>
          <t>NULL</t>
        </is>
      </c>
      <c r="F9" t="inlineStr" s="5">
        <is>
          <t>FK</t>
        </is>
      </c>
      <c r="G9" t="inlineStr" s="3">
        <is>
          <t>kyc_sessions(id)</t>
        </is>
      </c>
      <c r="H9" t="inlineStr" s="3">
        <is>
          <t>onboarding</t>
        </is>
      </c>
      <c r="I9" t="inlineStr" s="3">
        <is>
          <t>Optional linked onboarding session</t>
        </is>
      </c>
    </row>
    <row r="10">
      <c r="A10" t="inlineStr" s="3">
        <is>
          <t>used</t>
        </is>
      </c>
      <c r="B10" t="inlineStr" s="3">
        <is>
          <t>是否已使用</t>
        </is>
      </c>
      <c r="C10" t="inlineStr" s="3">
        <is>
          <t>BOOLEAN</t>
        </is>
      </c>
      <c r="D10" t="inlineStr" s="3">
        <is>
          <t>NO</t>
        </is>
      </c>
      <c r="E10" t="inlineStr" s="3">
        <is>
          <t>FALSE</t>
        </is>
      </c>
      <c r="F10" t="inlineStr" s="3">
        <is>
          <t/>
        </is>
      </c>
      <c r="G10" t="inlineStr" s="3">
        <is>
          <t/>
        </is>
      </c>
      <c r="H10" t="inlineStr" s="3">
        <is>
          <t>onboarding</t>
        </is>
      </c>
      <c r="I10" t="inlineStr" s="3">
        <is>
          <t>Whether OTP has been consumed</t>
        </is>
      </c>
    </row>
    <row r="11">
      <c r="A11" t="inlineStr" s="3">
        <is>
          <t>expires_at</t>
        </is>
      </c>
      <c r="B11" t="inlineStr" s="3">
        <is>
          <t>expires_at</t>
        </is>
      </c>
      <c r="C11" t="inlineStr" s="3">
        <is>
          <t>TIMESTAMPTZ</t>
        </is>
      </c>
      <c r="D11" t="inlineStr" s="3">
        <is>
          <t>NO</t>
        </is>
      </c>
      <c r="E11" t="inlineStr" s="3">
        <is>
          <t/>
        </is>
      </c>
      <c r="F11" t="inlineStr" s="3">
        <is>
          <t/>
        </is>
      </c>
      <c r="G11" t="inlineStr" s="3">
        <is>
          <t> </t>
        </is>
      </c>
      <c r="H11" t="inlineStr" s="3">
        <is>
          <t>onboarding</t>
        </is>
      </c>
      <c r="I11" t="inlineStr" s="3">
        <is>
          <t>OTP expiry time</t>
        </is>
      </c>
    </row>
    <row r="12">
      <c r="A12" t="inlineStr" s="3">
        <is>
          <t>created_at</t>
        </is>
      </c>
      <c r="B12" t="inlineStr" s="3">
        <is>
          <t>建立時間</t>
        </is>
      </c>
      <c r="C12" t="inlineStr" s="3">
        <is>
          <t>TIMESTAMPTZ</t>
        </is>
      </c>
      <c r="D12" t="inlineStr" s="3">
        <is>
          <t>NO</t>
        </is>
      </c>
      <c r="E12" t="inlineStr" s="3">
        <is>
          <t>NOW()</t>
        </is>
      </c>
      <c r="F12" t="inlineStr" s="3">
        <is>
          <t/>
        </is>
      </c>
      <c r="G12" t="inlineStr" s="3">
        <is>
          <t/>
        </is>
      </c>
      <c r="H12" t="inlineStr" s="3">
        <is>
          <t>onboarding</t>
        </is>
      </c>
      <c r="I12" t="inlineStr" s="3">
        <is>
          <t>OTP creation time</t>
        </is>
      </c>
    </row>
  </sheetData>
  <autoFilter ref="A4:I12"/>
  <mergeCells count="2">
    <mergeCell ref="A1:I1"/>
    <mergeCell ref="A2:I2"/>
  </mergeCells>
</worksheet>
</file>

<file path=xl/worksheets/sheet14.xml><?xml version="1.0" encoding="utf-8"?>
<worksheet xmlns="http://schemas.openxmlformats.org/spreadsheetml/2006/main">
  <dimension ref="A1:I16"/>
  <sheetViews>
    <sheetView workbookViewId="0">
      <pane ySplit="3" topLeftCell="A4" activePane="bottomLeft" state="frozen"/>
      <selection pane="bottomLeft" activeCell="A1" sqref="A1"/>
    </sheetView>
  </sheetViews>
  <sheetFormatPr defaultRowHeight="15"/>
  <cols>
    <col min="1" max="1" width="22" customWidth="1"/>
    <col min="2" max="2" width="20" customWidth="1"/>
    <col min="3" max="3" width="16" customWidth="1"/>
    <col min="4" max="4" width="10" customWidth="1"/>
    <col min="5" max="5" width="14" customWidth="1"/>
    <col min="6" max="6" width="14" customWidth="1"/>
    <col min="7" max="7" width="22" customWidth="1"/>
    <col min="8" max="8" width="22" customWidth="1"/>
    <col min="9" max="9" width="58" customWidth="1"/>
  </cols>
  <sheetData>
    <row r="1">
      <c r="A1" t="inlineStr" s="2">
        <is>
          <t>user_credentials</t>
        </is>
      </c>
      <c r="B1" t="inlineStr" s="0">
        <is>
          <t/>
        </is>
      </c>
      <c r="C1" t="inlineStr" s="0">
        <is>
          <t/>
        </is>
      </c>
      <c r="D1" t="inlineStr" s="0">
        <is>
          <t/>
        </is>
      </c>
      <c r="E1" t="inlineStr" s="0">
        <is>
          <t/>
        </is>
      </c>
      <c r="F1" t="inlineStr" s="0">
        <is>
          <t/>
        </is>
      </c>
      <c r="G1" t="inlineStr" s="0">
        <is>
          <t/>
        </is>
      </c>
      <c r="H1" t="inlineStr" s="0">
        <is>
          <t/>
        </is>
      </c>
      <c r="I1" t="inlineStr" s="0">
        <is>
          <t/>
        </is>
      </c>
    </row>
    <row r="2">
      <c r="A2" s="8">
        <f>HYPERLINK("#'Tables'!A1","Back to Tables")</f>
      </c>
      <c r="B2" t="inlineStr" s="0">
        <is>
          <t/>
        </is>
      </c>
      <c r="C2" t="inlineStr" s="0">
        <is>
          <t/>
        </is>
      </c>
      <c r="D2" t="inlineStr" s="0">
        <is>
          <t/>
        </is>
      </c>
      <c r="E2" t="inlineStr" s="0">
        <is>
          <t/>
        </is>
      </c>
      <c r="F2" t="inlineStr" s="0">
        <is>
          <t/>
        </is>
      </c>
      <c r="G2" t="inlineStr" s="0">
        <is>
          <t/>
        </is>
      </c>
      <c r="H2" t="inlineStr" s="0">
        <is>
          <t/>
        </is>
      </c>
      <c r="I2" t="inlineStr" s="0">
        <is>
          <t/>
        </is>
      </c>
    </row>
    <row r="3">
      <c r="A3" t="inlineStr" s="1">
        <is>
          <t>中文表名</t>
        </is>
      </c>
      <c r="B3" t="inlineStr" s="3">
        <is>
          <t>角色認證申請</t>
        </is>
      </c>
      <c r="C3" t="inlineStr" s="1">
        <is>
          <t>Domain</t>
        </is>
      </c>
      <c r="D3" t="inlineStr" s="3">
        <is>
          <t>Identity / KYC</t>
        </is>
      </c>
      <c r="E3" t="inlineStr" s="1">
        <is>
          <t>Summary</t>
        </is>
      </c>
      <c r="F3" t="inlineStr" s="3">
        <is>
          <t>屋主/租客/仲介角色認證申請。</t>
        </is>
      </c>
      <c r="G3" t="inlineStr" s="3">
        <is>
          <t/>
        </is>
      </c>
      <c r="H3" t="inlineStr" s="3">
        <is>
          <t/>
        </is>
      </c>
      <c r="I3" t="inlineStr" s="3">
        <is>
          <t/>
        </is>
      </c>
    </row>
    <row r="4">
      <c r="A4" t="inlineStr" s="1">
        <is>
          <t>column_name</t>
        </is>
      </c>
      <c r="B4" t="inlineStr" s="1">
        <is>
          <t>column_name_zh</t>
        </is>
      </c>
      <c r="C4" t="inlineStr" s="1">
        <is>
          <t>data_type</t>
        </is>
      </c>
      <c r="D4" t="inlineStr" s="1">
        <is>
          <t>nullable</t>
        </is>
      </c>
      <c r="E4" t="inlineStr" s="1">
        <is>
          <t>default</t>
        </is>
      </c>
      <c r="F4" t="inlineStr" s="1">
        <is>
          <t>key_type</t>
        </is>
      </c>
      <c r="G4" t="inlineStr" s="1">
        <is>
          <t>references</t>
        </is>
      </c>
      <c r="H4" t="inlineStr" s="1">
        <is>
          <t>used_by</t>
        </is>
      </c>
      <c r="I4" t="inlineStr" s="1">
        <is>
          <t>definition</t>
        </is>
      </c>
    </row>
    <row r="5">
      <c r="A5" t="inlineStr" s="3">
        <is>
          <t>id</t>
        </is>
      </c>
      <c r="B5" t="inlineStr" s="3">
        <is>
          <t>主鍵 ID</t>
        </is>
      </c>
      <c r="C5" t="inlineStr" s="3">
        <is>
          <t>BIGSERIAL</t>
        </is>
      </c>
      <c r="D5" t="inlineStr" s="3">
        <is>
          <t>NO</t>
        </is>
      </c>
      <c r="E5" t="inlineStr" s="3">
        <is>
          <t/>
        </is>
      </c>
      <c r="F5" t="inlineStr" s="4">
        <is>
          <t>PK</t>
        </is>
      </c>
      <c r="G5" t="inlineStr" s="3">
        <is>
          <t/>
        </is>
      </c>
      <c r="H5" t="inlineStr" s="3">
        <is>
          <t>credential_repo</t>
        </is>
      </c>
      <c r="I5" t="inlineStr" s="3">
        <is>
          <t>Credential primary key</t>
        </is>
      </c>
    </row>
    <row r="6">
      <c r="A6" t="inlineStr" s="3">
        <is>
          <t>user_id</t>
        </is>
      </c>
      <c r="B6" t="inlineStr" s="3">
        <is>
          <t>會員 ID</t>
        </is>
      </c>
      <c r="C6" t="inlineStr" s="3">
        <is>
          <t>BIGINT</t>
        </is>
      </c>
      <c r="D6" t="inlineStr" s="3">
        <is>
          <t>NO</t>
        </is>
      </c>
      <c r="E6" t="inlineStr" s="3">
        <is>
          <t/>
        </is>
      </c>
      <c r="F6" t="inlineStr" s="5">
        <is>
          <t>FK</t>
        </is>
      </c>
      <c r="G6" t="inlineStr" s="3">
        <is>
          <t>users(id)</t>
        </is>
      </c>
      <c r="H6" t="inlineStr" s="3">
        <is>
          <t>credential_repo</t>
        </is>
      </c>
      <c r="I6" t="inlineStr" s="3">
        <is>
          <t>Owning user row id</t>
        </is>
      </c>
    </row>
    <row r="7">
      <c r="A7" t="inlineStr" s="3">
        <is>
          <t>credential_type</t>
        </is>
      </c>
      <c r="B7" t="inlineStr" s="3">
        <is>
          <t>認證類型</t>
        </is>
      </c>
      <c r="C7" t="inlineStr" s="3">
        <is>
          <t>VARCHAR(20)</t>
        </is>
      </c>
      <c r="D7" t="inlineStr" s="3">
        <is>
          <t>NO</t>
        </is>
      </c>
      <c r="E7" t="inlineStr" s="3">
        <is>
          <t/>
        </is>
      </c>
      <c r="F7" t="inlineStr" s="3">
        <is>
          <t/>
        </is>
      </c>
      <c r="G7" t="inlineStr" s="3">
        <is>
          <t> </t>
        </is>
      </c>
      <c r="H7" t="inlineStr" s="3">
        <is>
          <t>credential_repo</t>
        </is>
      </c>
      <c r="I7" t="inlineStr" s="3">
        <is>
          <t>Credential role: OWNER|TENANT|AGENT</t>
        </is>
      </c>
    </row>
    <row r="8">
      <c r="A8" t="inlineStr" s="3">
        <is>
          <t>doc_path</t>
        </is>
      </c>
      <c r="B8" t="inlineStr" s="3">
        <is>
          <t>文件路徑</t>
        </is>
      </c>
      <c r="C8" t="inlineStr" s="3">
        <is>
          <t>VARCHAR(512)</t>
        </is>
      </c>
      <c r="D8" t="inlineStr" s="3">
        <is>
          <t>YES</t>
        </is>
      </c>
      <c r="E8" t="inlineStr" s="3">
        <is>
          <t>NULL</t>
        </is>
      </c>
      <c r="F8" t="inlineStr" s="3">
        <is>
          <t/>
        </is>
      </c>
      <c r="G8" t="inlineStr" s="3">
        <is>
          <t/>
        </is>
      </c>
      <c r="H8" t="inlineStr" s="3">
        <is>
          <t>credential_repo</t>
        </is>
      </c>
      <c r="I8" t="inlineStr" s="3">
        <is>
          <t>Supporting document path in MinIO</t>
        </is>
      </c>
    </row>
    <row r="9">
      <c r="A9" t="inlineStr" s="3">
        <is>
          <t>review_status</t>
        </is>
      </c>
      <c r="B9" t="inlineStr" s="3">
        <is>
          <t>審核狀態</t>
        </is>
      </c>
      <c r="C9" t="inlineStr" s="3">
        <is>
          <t>VARCHAR(20)</t>
        </is>
      </c>
      <c r="D9" t="inlineStr" s="3">
        <is>
          <t>NO</t>
        </is>
      </c>
      <c r="E9" t="inlineStr" s="3">
        <is>
          <t>PENDING</t>
        </is>
      </c>
      <c r="F9" t="inlineStr" s="7">
        <is>
          <t>INDEX</t>
        </is>
      </c>
      <c r="G9" t="inlineStr" s="3">
        <is>
          <t/>
        </is>
      </c>
      <c r="H9" t="inlineStr" s="3">
        <is>
          <t>credential_repo</t>
        </is>
      </c>
      <c r="I9" t="inlineStr" s="3">
        <is>
          <t>Credential review status</t>
        </is>
      </c>
    </row>
    <row r="10">
      <c r="A10" t="inlineStr" s="3">
        <is>
          <t>reviewer_note</t>
        </is>
      </c>
      <c r="B10" t="inlineStr" s="3">
        <is>
          <t>審核備註</t>
        </is>
      </c>
      <c r="C10" t="inlineStr" s="3">
        <is>
          <t>TEXT</t>
        </is>
      </c>
      <c r="D10" t="inlineStr" s="3">
        <is>
          <t>NO</t>
        </is>
      </c>
      <c r="E10" t="inlineStr" s="3">
        <is>
          <t>'' </t>
        </is>
      </c>
      <c r="F10" t="inlineStr" s="3">
        <is>
          <t/>
        </is>
      </c>
      <c r="G10" t="inlineStr" s="3">
        <is>
          <t>credential_repo</t>
        </is>
      </c>
      <c r="H10" t="inlineStr" s="3">
        <is>
          <t>Review note or rejection reason</t>
        </is>
      </c>
      <c r="I10" t="inlineStr" s="3">
        <is>
          <t/>
        </is>
      </c>
    </row>
    <row r="11">
      <c r="A11" t="inlineStr" s="3">
        <is>
          <t>reviewed_by_wallet</t>
        </is>
      </c>
      <c r="B11" t="inlineStr" s="3">
        <is>
          <t>審核者錢包</t>
        </is>
      </c>
      <c r="C11" t="inlineStr" s="3">
        <is>
          <t>VARCHAR(255)</t>
        </is>
      </c>
      <c r="D11" t="inlineStr" s="3">
        <is>
          <t>YES</t>
        </is>
      </c>
      <c r="E11" t="inlineStr" s="3">
        <is>
          <t>NULL</t>
        </is>
      </c>
      <c r="F11" t="inlineStr" s="3">
        <is>
          <t/>
        </is>
      </c>
      <c r="G11" t="inlineStr" s="3">
        <is>
          <t/>
        </is>
      </c>
      <c r="H11" t="inlineStr" s="3">
        <is>
          <t>credential_repo</t>
        </is>
      </c>
      <c r="I11" t="inlineStr" s="3">
        <is>
          <t>Reviewer wallet address</t>
        </is>
      </c>
    </row>
    <row r="12">
      <c r="A12" t="inlineStr" s="3">
        <is>
          <t>nft_token_id</t>
        </is>
      </c>
      <c r="B12" t="inlineStr" s="3">
        <is>
          <t>NFT Token ID</t>
        </is>
      </c>
      <c r="C12" t="inlineStr" s="3">
        <is>
          <t>INT</t>
        </is>
      </c>
      <c r="D12" t="inlineStr" s="3">
        <is>
          <t>YES</t>
        </is>
      </c>
      <c r="E12" t="inlineStr" s="3">
        <is>
          <t>NULL</t>
        </is>
      </c>
      <c r="F12" t="inlineStr" s="3">
        <is>
          <t/>
        </is>
      </c>
      <c r="G12" t="inlineStr" s="3">
        <is>
          <t/>
        </is>
      </c>
      <c r="H12" t="inlineStr" s="3">
        <is>
          <t>credential_repo</t>
        </is>
      </c>
      <c r="I12" t="inlineStr" s="3">
        <is>
          <t>ERC-1155 token id minted for the credential</t>
        </is>
      </c>
    </row>
    <row r="13">
      <c r="A13" t="inlineStr" s="3">
        <is>
          <t>tx_hash</t>
        </is>
      </c>
      <c r="B13" t="inlineStr" s="3">
        <is>
          <t>交易雜湊</t>
        </is>
      </c>
      <c r="C13" t="inlineStr" s="3">
        <is>
          <t>VARCHAR(66)</t>
        </is>
      </c>
      <c r="D13" t="inlineStr" s="3">
        <is>
          <t>YES</t>
        </is>
      </c>
      <c r="E13" t="inlineStr" s="3">
        <is>
          <t>NULL</t>
        </is>
      </c>
      <c r="F13" t="inlineStr" s="3">
        <is>
          <t/>
        </is>
      </c>
      <c r="G13" t="inlineStr" s="3">
        <is>
          <t/>
        </is>
      </c>
      <c r="H13" t="inlineStr" s="3">
        <is>
          <t>credential_repo</t>
        </is>
      </c>
      <c r="I13" t="inlineStr" s="3">
        <is>
          <t>Mint transaction hash</t>
        </is>
      </c>
    </row>
    <row r="14">
      <c r="A14" t="inlineStr" s="3">
        <is>
          <t>verified_at</t>
        </is>
      </c>
      <c r="B14" t="inlineStr" s="3">
        <is>
          <t>核發時間</t>
        </is>
      </c>
      <c r="C14" t="inlineStr" s="3">
        <is>
          <t>TIMESTAMPTZ</t>
        </is>
      </c>
      <c r="D14" t="inlineStr" s="3">
        <is>
          <t>YES</t>
        </is>
      </c>
      <c r="E14" t="inlineStr" s="3">
        <is>
          <t>NULL</t>
        </is>
      </c>
      <c r="F14" t="inlineStr" s="3">
        <is>
          <t/>
        </is>
      </c>
      <c r="G14" t="inlineStr" s="3">
        <is>
          <t/>
        </is>
      </c>
      <c r="H14" t="inlineStr" s="3">
        <is>
          <t>credential_repo</t>
        </is>
      </c>
      <c r="I14" t="inlineStr" s="3">
        <is>
          <t>Verification timestamp</t>
        </is>
      </c>
    </row>
    <row r="15">
      <c r="A15" t="inlineStr" s="3">
        <is>
          <t>created_at</t>
        </is>
      </c>
      <c r="B15" t="inlineStr" s="3">
        <is>
          <t>建立時間</t>
        </is>
      </c>
      <c r="C15" t="inlineStr" s="3">
        <is>
          <t>TIMESTAMPTZ</t>
        </is>
      </c>
      <c r="D15" t="inlineStr" s="3">
        <is>
          <t>NO</t>
        </is>
      </c>
      <c r="E15" t="inlineStr" s="3">
        <is>
          <t>NOW()</t>
        </is>
      </c>
      <c r="F15" t="inlineStr" s="3">
        <is>
          <t/>
        </is>
      </c>
      <c r="G15" t="inlineStr" s="3">
        <is>
          <t/>
        </is>
      </c>
      <c r="H15" t="inlineStr" s="3">
        <is>
          <t>credential_repo</t>
        </is>
      </c>
      <c r="I15" t="inlineStr" s="3">
        <is>
          <t>Row creation timestamp</t>
        </is>
      </c>
    </row>
    <row r="16">
      <c r="A16" t="inlineStr" s="3">
        <is>
          <t>updated_at</t>
        </is>
      </c>
      <c r="B16" t="inlineStr" s="3">
        <is>
          <t>更新時間</t>
        </is>
      </c>
      <c r="C16" t="inlineStr" s="3">
        <is>
          <t>TIMESTAMPTZ</t>
        </is>
      </c>
      <c r="D16" t="inlineStr" s="3">
        <is>
          <t>NO</t>
        </is>
      </c>
      <c r="E16" t="inlineStr" s="3">
        <is>
          <t>NOW()</t>
        </is>
      </c>
      <c r="F16" t="inlineStr" s="3">
        <is>
          <t/>
        </is>
      </c>
      <c r="G16" t="inlineStr" s="3">
        <is>
          <t/>
        </is>
      </c>
      <c r="H16" t="inlineStr" s="3">
        <is>
          <t>credential_repo</t>
        </is>
      </c>
      <c r="I16" t="inlineStr" s="3">
        <is>
          <t>Row update timestamp</t>
        </is>
      </c>
    </row>
  </sheetData>
  <autoFilter ref="A4:I16"/>
  <mergeCells count="2">
    <mergeCell ref="A1:I1"/>
    <mergeCell ref="A2:I2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Tables</vt:lpstr>
      <vt:lpstr>Relationships</vt:lpstr>
      <vt:lpstr>users</vt:lpstr>
      <vt:lpstr>indexer_checkpoints</vt:lpstr>
      <vt:lpstr>processed_events</vt:lpstr>
      <vt:lpstr>tasks</vt:lpstr>
      <vt:lpstr>task_submissions</vt:lpstr>
      <vt:lpstr>task_blockchain_logs</vt:lpstr>
      <vt:lpstr>auth_nonce</vt:lpstr>
      <vt:lpstr>wallet_session</vt:lpstr>
      <vt:lpstr>kyc_submissions</vt:lpstr>
      <vt:lpstr>kyc_sessions</vt:lpstr>
      <vt:lpstr>otp_codes</vt:lpstr>
      <vt:lpstr>user_credentials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Project Relational Database Spec</dc:title>
  <dc:creator>Codex</dc:creator>
  <cp:lastModifiedBy>Codex</cp:lastModifiedBy>
  <dcterms:created xsi:type="dcterms:W3CDTF">2026-04-16T16:15:03Z</dcterms:created>
  <dcterms:modified xsi:type="dcterms:W3CDTF">2026-04-16T16:15:03Z</dcterms:modified>
</cp:coreProperties>
</file>